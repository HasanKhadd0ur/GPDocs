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45" i="1" l="1"/>
  <c r="AF141" i="1"/>
  <c r="AF142" i="1"/>
  <c r="AF143" i="1"/>
  <c r="AF144" i="1"/>
</calcChain>
</file>

<file path=xl/sharedStrings.xml><?xml version="1.0" encoding="utf-8"?>
<sst xmlns="http://schemas.openxmlformats.org/spreadsheetml/2006/main" count="922" uniqueCount="155">
  <si>
    <t>#</t>
  </si>
  <si>
    <t>Name</t>
  </si>
  <si>
    <t>Description</t>
  </si>
  <si>
    <t>results</t>
  </si>
  <si>
    <t>Acc</t>
  </si>
  <si>
    <t>Train</t>
  </si>
  <si>
    <t>Test</t>
  </si>
  <si>
    <t>Recall</t>
  </si>
  <si>
    <t>F1 Score</t>
  </si>
  <si>
    <t>Precsion</t>
  </si>
  <si>
    <t>Model</t>
  </si>
  <si>
    <t>Logistic Regression</t>
  </si>
  <si>
    <t>SVM</t>
  </si>
  <si>
    <t>KNN</t>
  </si>
  <si>
    <t>Neural Network</t>
  </si>
  <si>
    <t>Event Detection and Monitoring in Social Media Stream</t>
  </si>
  <si>
    <t>Event Filtering Stage</t>
  </si>
  <si>
    <t>Exp. 1</t>
  </si>
  <si>
    <t xml:space="preserve"> FasText Embeddig</t>
  </si>
  <si>
    <t>Embedding Tweets with Fastext Model</t>
  </si>
  <si>
    <t xml:space="preserve"> AraBert Embeddig</t>
  </si>
  <si>
    <t>Naïve Baise</t>
  </si>
  <si>
    <t xml:space="preserve"> mBert Embeddig</t>
  </si>
  <si>
    <t xml:space="preserve"> TF-IDF Embeddig</t>
  </si>
  <si>
    <t>Embedding Tweets with AraBert Model</t>
  </si>
  <si>
    <t>Embedding Tweets with mBert Model</t>
  </si>
  <si>
    <t>Embedding Tweets with TF-IDF Model</t>
  </si>
  <si>
    <t> 0.84</t>
  </si>
  <si>
    <t> 0.82</t>
  </si>
  <si>
    <t>0.86 </t>
  </si>
  <si>
    <t>0.81 </t>
  </si>
  <si>
    <t>0.77 </t>
  </si>
  <si>
    <t>0.86  </t>
  </si>
  <si>
    <t> 0.81</t>
  </si>
  <si>
    <t>0.89 </t>
  </si>
  <si>
    <t>0.87 </t>
  </si>
  <si>
    <t>0.75 </t>
  </si>
  <si>
    <t>0.84 </t>
  </si>
  <si>
    <t>0.95 </t>
  </si>
  <si>
    <t>0.91 </t>
  </si>
  <si>
    <t>0.79 </t>
  </si>
  <si>
    <t>0.76 </t>
  </si>
  <si>
    <t>0.85 </t>
  </si>
  <si>
    <t>0.88 </t>
  </si>
  <si>
    <t>0.67 </t>
  </si>
  <si>
    <t>0.68 </t>
  </si>
  <si>
    <t> 0.86</t>
  </si>
  <si>
    <t>0.82 </t>
  </si>
  <si>
    <t>0.92 </t>
  </si>
  <si>
    <t> 0.90</t>
  </si>
  <si>
    <t> 0.85</t>
  </si>
  <si>
    <t>086 </t>
  </si>
  <si>
    <t> 0.91</t>
  </si>
  <si>
    <t> 0.83</t>
  </si>
  <si>
    <t>0.78 </t>
  </si>
  <si>
    <t> 0.99</t>
  </si>
  <si>
    <t>1.00 </t>
  </si>
  <si>
    <t>0.99 </t>
  </si>
  <si>
    <t> 0.87</t>
  </si>
  <si>
    <t> 0.76</t>
  </si>
  <si>
    <t>0.80 </t>
  </si>
  <si>
    <t> 0.88</t>
  </si>
  <si>
    <t> 0.73</t>
  </si>
  <si>
    <t>0.74 </t>
  </si>
  <si>
    <t>0.83 </t>
  </si>
  <si>
    <t> 0.89</t>
  </si>
  <si>
    <t>Exp. 2</t>
  </si>
  <si>
    <t>Exp. 3</t>
  </si>
  <si>
    <t>Exp. 4</t>
  </si>
  <si>
    <t> 0.93</t>
  </si>
  <si>
    <t> 0.80</t>
  </si>
  <si>
    <t>0.97 </t>
  </si>
  <si>
    <t>0.90 </t>
  </si>
  <si>
    <t> 0.74</t>
  </si>
  <si>
    <t>0.71 </t>
  </si>
  <si>
    <t>0.70 </t>
  </si>
  <si>
    <t> 0.78</t>
  </si>
  <si>
    <t>0.73 </t>
  </si>
  <si>
    <t>0.58 </t>
  </si>
  <si>
    <t> 0.67</t>
  </si>
  <si>
    <t>0.62 </t>
  </si>
  <si>
    <t>0.56 </t>
  </si>
  <si>
    <t>0.53 </t>
  </si>
  <si>
    <t>0.93 </t>
  </si>
  <si>
    <t>0.61 </t>
  </si>
  <si>
    <t>0.69 </t>
  </si>
  <si>
    <t>0.98 </t>
  </si>
  <si>
    <t>0.60 </t>
  </si>
  <si>
    <t>0.65 </t>
  </si>
  <si>
    <t>0.55 </t>
  </si>
  <si>
    <t>0.44 </t>
  </si>
  <si>
    <t>Embedding Tweets with Fastext + NE Weight</t>
  </si>
  <si>
    <t>Embedding Tweets with AraBert + NE Weight</t>
  </si>
  <si>
    <t>Embedding Tweets with mBert + NE Weight</t>
  </si>
  <si>
    <t>Embedding Tweets with TF-IDF + NE Weight</t>
  </si>
  <si>
    <t>Embedding NE with Fastext Model</t>
  </si>
  <si>
    <t>Embedding NE with AraBert Model</t>
  </si>
  <si>
    <t>Embedding NE with mBert Model</t>
  </si>
  <si>
    <t>Embedding NE with TF-IDF Model</t>
  </si>
  <si>
    <t>Embedding Tweets with Fastext Model Plcaceholders</t>
  </si>
  <si>
    <t>Embedding Tweets with AraBert Model Plcaceholders</t>
  </si>
  <si>
    <t>Embedding Tweets with mBert Model Plcaceholders</t>
  </si>
  <si>
    <t>Embedding Tweets with TF-IDF Model Plcaceholders</t>
  </si>
  <si>
    <t>AraBert</t>
  </si>
  <si>
    <t>mBert</t>
  </si>
  <si>
    <t>TF-IDF</t>
  </si>
  <si>
    <t>FasText +NE</t>
  </si>
  <si>
    <t xml:space="preserve"> AraBert + NE</t>
  </si>
  <si>
    <t>Embedding Model</t>
  </si>
  <si>
    <t>Results</t>
  </si>
  <si>
    <t>Accuracy</t>
  </si>
  <si>
    <t>Precision</t>
  </si>
  <si>
    <t>FastText</t>
  </si>
  <si>
    <t>Naïve Bayes</t>
  </si>
  <si>
    <t>Distill mBert</t>
  </si>
  <si>
    <t>FastText + SVM</t>
  </si>
  <si>
    <t>AraBert +NN</t>
  </si>
  <si>
    <t>mBert +KNN</t>
  </si>
  <si>
    <t>TF-IDF +KNN</t>
  </si>
  <si>
    <t>Propotion</t>
  </si>
  <si>
    <t>E1</t>
  </si>
  <si>
    <t>Distilli mBert +SVM</t>
  </si>
  <si>
    <t xml:space="preserve"> FastText+ NE </t>
  </si>
  <si>
    <t xml:space="preserve"> AraBert+ NE</t>
  </si>
  <si>
    <t xml:space="preserve"> mBert +NE </t>
  </si>
  <si>
    <t xml:space="preserve"> TF-IDF+ NE</t>
  </si>
  <si>
    <t>FastText+ NE+ KNN</t>
  </si>
  <si>
    <t>AraBert+ NE+ SVM</t>
  </si>
  <si>
    <t>mBert +NE +LR</t>
  </si>
  <si>
    <t>TF-IDF +NE +KNN</t>
  </si>
  <si>
    <t>Distilli mBert +NE+</t>
  </si>
  <si>
    <t xml:space="preserve"> </t>
  </si>
  <si>
    <t xml:space="preserve"> Distil mBert +NE</t>
  </si>
  <si>
    <t xml:space="preserve"> FastText </t>
  </si>
  <si>
    <t xml:space="preserve"> AraBert </t>
  </si>
  <si>
    <t xml:space="preserve"> mBert </t>
  </si>
  <si>
    <t xml:space="preserve"> TF-IDF</t>
  </si>
  <si>
    <t>Distilli mBert +WNE LR</t>
  </si>
  <si>
    <t>FastText+ WNE+ LR</t>
  </si>
  <si>
    <t>AraBert+ WNE+ KNN</t>
  </si>
  <si>
    <t>mBert +WNE KNN</t>
  </si>
  <si>
    <t>TF-IDF +WNE +KNN</t>
  </si>
  <si>
    <t>AraBert+ P+ LR</t>
  </si>
  <si>
    <t>FastText+ P  +NB</t>
  </si>
  <si>
    <t>mBert +P +LR</t>
  </si>
  <si>
    <t>TF-IDF +P +KNN</t>
  </si>
  <si>
    <t>Distilli mBert +P +KNN</t>
  </si>
  <si>
    <t>FastText+ P  NN</t>
  </si>
  <si>
    <t>F1</t>
  </si>
  <si>
    <t>DIST</t>
  </si>
  <si>
    <t>CTRY</t>
  </si>
  <si>
    <t xml:space="preserve">CITY </t>
  </si>
  <si>
    <t>NBHD</t>
  </si>
  <si>
    <t>ST</t>
  </si>
  <si>
    <t>NPOI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</si>
</sst>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u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rgb="FF000000"/>
      <name val="Consolas"/>
      <family val="3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BE5F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27">
    <xf numFmtId="0" fontId="0" fillId="0" borderId="0" xfId="0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9" borderId="0" xfId="0" applyFill="1"/>
    <xf numFmtId="0" fontId="0" fillId="9" borderId="0" xfId="0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0" fillId="9" borderId="0" xfId="0" applyFill="1" applyBorder="1" applyAlignment="1">
      <alignment vertical="center"/>
    </xf>
    <xf numFmtId="0" fontId="0" fillId="9" borderId="0" xfId="0" applyFill="1" applyBorder="1" applyAlignment="1"/>
    <xf numFmtId="0" fontId="0" fillId="9" borderId="0" xfId="0" applyFill="1" applyBorder="1" applyAlignment="1">
      <alignment horizont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 vertical="center" indent="2"/>
    </xf>
    <xf numFmtId="0" fontId="4" fillId="10" borderId="1" xfId="0" applyFont="1" applyFill="1" applyBorder="1" applyAlignment="1">
      <alignment horizontal="center" vertical="center" readingOrder="1"/>
    </xf>
    <xf numFmtId="0" fontId="4" fillId="11" borderId="1" xfId="0" applyFont="1" applyFill="1" applyBorder="1" applyAlignment="1">
      <alignment horizontal="center" vertical="center" readingOrder="1"/>
    </xf>
    <xf numFmtId="0" fontId="5" fillId="10" borderId="1" xfId="0" applyFont="1" applyFill="1" applyBorder="1" applyAlignment="1">
      <alignment horizontal="center" vertical="center" readingOrder="1"/>
    </xf>
    <xf numFmtId="0" fontId="6" fillId="10" borderId="1" xfId="0" applyFont="1" applyFill="1" applyBorder="1" applyAlignment="1">
      <alignment horizontal="center" vertical="center" readingOrder="1"/>
    </xf>
    <xf numFmtId="0" fontId="5" fillId="11" borderId="1" xfId="0" applyFont="1" applyFill="1" applyBorder="1" applyAlignment="1">
      <alignment horizontal="center" vertical="center" readingOrder="1"/>
    </xf>
    <xf numFmtId="0" fontId="7" fillId="10" borderId="1" xfId="0" applyFont="1" applyFill="1" applyBorder="1" applyAlignment="1">
      <alignment horizontal="center" vertical="center" readingOrder="1"/>
    </xf>
    <xf numFmtId="0" fontId="7" fillId="11" borderId="1" xfId="0" applyFont="1" applyFill="1" applyBorder="1" applyAlignment="1">
      <alignment horizontal="center" vertical="center" readingOrder="1"/>
    </xf>
    <xf numFmtId="0" fontId="8" fillId="10" borderId="1" xfId="0" applyFont="1" applyFill="1" applyBorder="1" applyAlignment="1">
      <alignment horizontal="center" vertical="center" readingOrder="1"/>
    </xf>
    <xf numFmtId="0" fontId="4" fillId="10" borderId="13" xfId="0" applyFont="1" applyFill="1" applyBorder="1" applyAlignment="1">
      <alignment horizontal="center" vertical="center" readingOrder="1"/>
    </xf>
    <xf numFmtId="2" fontId="4" fillId="10" borderId="1" xfId="0" applyNumberFormat="1" applyFont="1" applyFill="1" applyBorder="1" applyAlignment="1">
      <alignment horizontal="center" vertical="center" readingOrder="1"/>
    </xf>
    <xf numFmtId="2" fontId="4" fillId="11" borderId="1" xfId="0" applyNumberFormat="1" applyFont="1" applyFill="1" applyBorder="1" applyAlignment="1">
      <alignment horizontal="center" vertical="center" readingOrder="1"/>
    </xf>
    <xf numFmtId="2" fontId="5" fillId="11" borderId="1" xfId="0" applyNumberFormat="1" applyFont="1" applyFill="1" applyBorder="1" applyAlignment="1">
      <alignment horizontal="center" vertical="center" readingOrder="1"/>
    </xf>
    <xf numFmtId="2" fontId="5" fillId="10" borderId="1" xfId="0" applyNumberFormat="1" applyFont="1" applyFill="1" applyBorder="1" applyAlignment="1">
      <alignment horizontal="center" vertical="center" readingOrder="1"/>
    </xf>
    <xf numFmtId="2" fontId="4" fillId="10" borderId="13" xfId="0" applyNumberFormat="1" applyFont="1" applyFill="1" applyBorder="1" applyAlignment="1">
      <alignment horizontal="center" vertical="center" readingOrder="1"/>
    </xf>
    <xf numFmtId="0" fontId="9" fillId="11" borderId="1" xfId="0" applyFont="1" applyFill="1" applyBorder="1" applyAlignment="1">
      <alignment horizontal="center" vertical="center" readingOrder="1"/>
    </xf>
    <xf numFmtId="2" fontId="6" fillId="10" borderId="1" xfId="0" applyNumberFormat="1" applyFont="1" applyFill="1" applyBorder="1" applyAlignment="1">
      <alignment horizontal="center" vertical="center" readingOrder="1"/>
    </xf>
    <xf numFmtId="0" fontId="6" fillId="11" borderId="1" xfId="0" applyFont="1" applyFill="1" applyBorder="1" applyAlignment="1">
      <alignment horizontal="center" vertical="center" readingOrder="1"/>
    </xf>
    <xf numFmtId="0" fontId="4" fillId="10" borderId="6" xfId="0" applyFont="1" applyFill="1" applyBorder="1" applyAlignment="1">
      <alignment horizontal="center" vertical="center" readingOrder="1"/>
    </xf>
    <xf numFmtId="0" fontId="7" fillId="10" borderId="13" xfId="0" applyFont="1" applyFill="1" applyBorder="1" applyAlignment="1">
      <alignment horizontal="center" vertical="center" readingOrder="1"/>
    </xf>
    <xf numFmtId="0" fontId="4" fillId="12" borderId="14" xfId="0" applyFont="1" applyFill="1" applyBorder="1" applyAlignment="1">
      <alignment horizontal="center" vertical="center" readingOrder="1"/>
    </xf>
    <xf numFmtId="0" fontId="4" fillId="12" borderId="15" xfId="0" applyFont="1" applyFill="1" applyBorder="1" applyAlignment="1">
      <alignment horizontal="center" vertical="center" readingOrder="2"/>
    </xf>
    <xf numFmtId="0" fontId="4" fillId="12" borderId="16" xfId="0" applyFont="1" applyFill="1" applyBorder="1" applyAlignment="1">
      <alignment horizontal="center" vertical="center" readingOrder="1"/>
    </xf>
    <xf numFmtId="0" fontId="4" fillId="14" borderId="21" xfId="0" applyFont="1" applyFill="1" applyBorder="1" applyAlignment="1">
      <alignment horizontal="center" vertical="center" readingOrder="1"/>
    </xf>
    <xf numFmtId="0" fontId="4" fillId="11" borderId="22" xfId="0" applyFont="1" applyFill="1" applyBorder="1" applyAlignment="1">
      <alignment horizontal="center" vertical="center" readingOrder="1"/>
    </xf>
    <xf numFmtId="0" fontId="4" fillId="10" borderId="21" xfId="0" applyFont="1" applyFill="1" applyBorder="1" applyAlignment="1">
      <alignment horizontal="center" vertical="center" readingOrder="1"/>
    </xf>
    <xf numFmtId="0" fontId="4" fillId="11" borderId="23" xfId="0" applyFont="1" applyFill="1" applyBorder="1" applyAlignment="1">
      <alignment horizontal="center" vertical="center" readingOrder="1"/>
    </xf>
    <xf numFmtId="0" fontId="4" fillId="11" borderId="21" xfId="0" applyFont="1" applyFill="1" applyBorder="1" applyAlignment="1">
      <alignment horizontal="center" vertical="center" readingOrder="1"/>
    </xf>
    <xf numFmtId="0" fontId="5" fillId="10" borderId="21" xfId="0" applyFont="1" applyFill="1" applyBorder="1" applyAlignment="1">
      <alignment horizontal="center" vertical="center" readingOrder="1"/>
    </xf>
    <xf numFmtId="0" fontId="4" fillId="10" borderId="15" xfId="0" applyFont="1" applyFill="1" applyBorder="1" applyAlignment="1">
      <alignment horizontal="center" vertical="center" readingOrder="1"/>
    </xf>
    <xf numFmtId="0" fontId="6" fillId="10" borderId="21" xfId="0" applyFont="1" applyFill="1" applyBorder="1" applyAlignment="1">
      <alignment horizontal="center" vertical="center" readingOrder="1"/>
    </xf>
    <xf numFmtId="0" fontId="9" fillId="11" borderId="21" xfId="0" applyFont="1" applyFill="1" applyBorder="1" applyAlignment="1">
      <alignment horizontal="center" vertical="center" readingOrder="1"/>
    </xf>
    <xf numFmtId="0" fontId="5" fillId="11" borderId="21" xfId="0" applyFont="1" applyFill="1" applyBorder="1" applyAlignment="1">
      <alignment horizontal="center" vertical="center" readingOrder="1"/>
    </xf>
    <xf numFmtId="0" fontId="4" fillId="16" borderId="21" xfId="0" applyFont="1" applyFill="1" applyBorder="1" applyAlignment="1">
      <alignment horizontal="center" vertical="center" readingOrder="1"/>
    </xf>
    <xf numFmtId="0" fontId="5" fillId="16" borderId="21" xfId="0" applyFont="1" applyFill="1" applyBorder="1" applyAlignment="1">
      <alignment horizontal="center" vertical="center" readingOrder="1"/>
    </xf>
    <xf numFmtId="0" fontId="4" fillId="14" borderId="22" xfId="0" applyFont="1" applyFill="1" applyBorder="1" applyAlignment="1">
      <alignment horizontal="center" vertical="center" readingOrder="1"/>
    </xf>
    <xf numFmtId="9" fontId="0" fillId="0" borderId="0" xfId="1" applyFont="1"/>
    <xf numFmtId="0" fontId="4" fillId="13" borderId="24" xfId="0" applyFont="1" applyFill="1" applyBorder="1" applyAlignment="1">
      <alignment vertical="center" readingOrder="1"/>
    </xf>
    <xf numFmtId="0" fontId="4" fillId="13" borderId="17" xfId="0" applyFont="1" applyFill="1" applyBorder="1" applyAlignment="1">
      <alignment vertical="center" readingOrder="1"/>
    </xf>
    <xf numFmtId="0" fontId="6" fillId="11" borderId="21" xfId="0" applyFont="1" applyFill="1" applyBorder="1" applyAlignment="1">
      <alignment horizontal="center" vertical="center" readingOrder="1"/>
    </xf>
    <xf numFmtId="0" fontId="6" fillId="10" borderId="21" xfId="0" applyFont="1" applyFill="1" applyBorder="1" applyAlignment="1">
      <alignment horizontal="center" vertical="center" readingOrder="2"/>
    </xf>
    <xf numFmtId="0" fontId="6" fillId="11" borderId="21" xfId="0" applyFont="1" applyFill="1" applyBorder="1" applyAlignment="1">
      <alignment horizontal="center" vertical="center" readingOrder="2"/>
    </xf>
    <xf numFmtId="0" fontId="6" fillId="11" borderId="22" xfId="0" applyFont="1" applyFill="1" applyBorder="1" applyAlignment="1">
      <alignment horizontal="center" vertical="center" readingOrder="1"/>
    </xf>
    <xf numFmtId="0" fontId="6" fillId="10" borderId="15" xfId="0" applyFont="1" applyFill="1" applyBorder="1" applyAlignment="1">
      <alignment horizontal="center" vertical="center" readingOrder="1"/>
    </xf>
    <xf numFmtId="0" fontId="4" fillId="10" borderId="21" xfId="0" applyFont="1" applyFill="1" applyBorder="1" applyAlignment="1">
      <alignment horizontal="left" vertical="center" readingOrder="1"/>
    </xf>
    <xf numFmtId="0" fontId="4" fillId="11" borderId="21" xfId="0" applyFont="1" applyFill="1" applyBorder="1" applyAlignment="1">
      <alignment horizontal="left" vertical="center" readingOrder="1"/>
    </xf>
    <xf numFmtId="0" fontId="5" fillId="11" borderId="21" xfId="0" applyFont="1" applyFill="1" applyBorder="1" applyAlignment="1">
      <alignment horizontal="left" vertical="center" readingOrder="1"/>
    </xf>
    <xf numFmtId="0" fontId="5" fillId="10" borderId="21" xfId="0" applyFont="1" applyFill="1" applyBorder="1" applyAlignment="1">
      <alignment horizontal="left" vertical="center" readingOrder="1"/>
    </xf>
    <xf numFmtId="0" fontId="4" fillId="11" borderId="22" xfId="0" applyFont="1" applyFill="1" applyBorder="1" applyAlignment="1">
      <alignment horizontal="left" vertical="center" readingOrder="1"/>
    </xf>
    <xf numFmtId="0" fontId="4" fillId="10" borderId="15" xfId="0" applyFont="1" applyFill="1" applyBorder="1" applyAlignment="1">
      <alignment horizontal="left" vertical="center" readingOrder="1"/>
    </xf>
    <xf numFmtId="0" fontId="5" fillId="10" borderId="15" xfId="0" applyFont="1" applyFill="1" applyBorder="1" applyAlignment="1">
      <alignment horizontal="left" vertical="center" readingOrder="1"/>
    </xf>
    <xf numFmtId="0" fontId="9" fillId="11" borderId="21" xfId="0" applyFont="1" applyFill="1" applyBorder="1" applyAlignment="1">
      <alignment horizontal="left" vertical="center" readingOrder="1"/>
    </xf>
    <xf numFmtId="0" fontId="9" fillId="10" borderId="21" xfId="0" applyFont="1" applyFill="1" applyBorder="1" applyAlignment="1">
      <alignment horizontal="left" vertical="center" readingOrder="1"/>
    </xf>
    <xf numFmtId="0" fontId="5" fillId="16" borderId="21" xfId="0" applyFont="1" applyFill="1" applyBorder="1" applyAlignment="1">
      <alignment horizontal="left" vertical="center" readingOrder="1"/>
    </xf>
    <xf numFmtId="0" fontId="4" fillId="16" borderId="21" xfId="0" applyFont="1" applyFill="1" applyBorder="1" applyAlignment="1">
      <alignment horizontal="left" vertical="center" readingOrder="1"/>
    </xf>
    <xf numFmtId="0" fontId="6" fillId="10" borderId="21" xfId="0" applyFont="1" applyFill="1" applyBorder="1" applyAlignment="1">
      <alignment horizontal="left" vertical="center" readingOrder="1"/>
    </xf>
    <xf numFmtId="0" fontId="6" fillId="11" borderId="21" xfId="0" applyFont="1" applyFill="1" applyBorder="1" applyAlignment="1">
      <alignment horizontal="left" vertical="center" readingOrder="1"/>
    </xf>
    <xf numFmtId="0" fontId="6" fillId="11" borderId="22" xfId="0" applyFont="1" applyFill="1" applyBorder="1" applyAlignment="1">
      <alignment horizontal="left" vertical="center" readingOrder="1"/>
    </xf>
    <xf numFmtId="0" fontId="12" fillId="0" borderId="0" xfId="0" applyFont="1"/>
    <xf numFmtId="0" fontId="4" fillId="15" borderId="25" xfId="0" applyFont="1" applyFill="1" applyBorder="1" applyAlignment="1">
      <alignment horizontal="center" vertical="center" readingOrder="1"/>
    </xf>
    <xf numFmtId="0" fontId="4" fillId="15" borderId="20" xfId="0" applyFont="1" applyFill="1" applyBorder="1" applyAlignment="1">
      <alignment horizontal="center" vertical="center" readingOrder="1"/>
    </xf>
    <xf numFmtId="0" fontId="4" fillId="15" borderId="19" xfId="0" applyFont="1" applyFill="1" applyBorder="1" applyAlignment="1">
      <alignment horizontal="center" vertical="center" readingOrder="1"/>
    </xf>
    <xf numFmtId="0" fontId="4" fillId="11" borderId="25" xfId="0" applyFont="1" applyFill="1" applyBorder="1" applyAlignment="1">
      <alignment horizontal="center" vertical="center" readingOrder="1"/>
    </xf>
    <xf numFmtId="0" fontId="4" fillId="11" borderId="20" xfId="0" applyFont="1" applyFill="1" applyBorder="1" applyAlignment="1">
      <alignment horizontal="center" vertical="center" readingOrder="1"/>
    </xf>
    <xf numFmtId="0" fontId="4" fillId="11" borderId="19" xfId="0" applyFont="1" applyFill="1" applyBorder="1" applyAlignment="1">
      <alignment horizontal="center" vertical="center" readingOrder="1"/>
    </xf>
    <xf numFmtId="0" fontId="4" fillId="16" borderId="25" xfId="0" applyFont="1" applyFill="1" applyBorder="1" applyAlignment="1">
      <alignment horizontal="center" vertical="center" readingOrder="1"/>
    </xf>
    <xf numFmtId="0" fontId="4" fillId="16" borderId="20" xfId="0" applyFont="1" applyFill="1" applyBorder="1" applyAlignment="1">
      <alignment horizontal="center" vertical="center" readingOrder="1"/>
    </xf>
    <xf numFmtId="0" fontId="4" fillId="16" borderId="19" xfId="0" applyFont="1" applyFill="1" applyBorder="1" applyAlignment="1">
      <alignment horizontal="center" vertical="center" readingOrder="1"/>
    </xf>
    <xf numFmtId="0" fontId="4" fillId="16" borderId="25" xfId="0" applyFont="1" applyFill="1" applyBorder="1" applyAlignment="1">
      <alignment horizontal="center" vertical="center" wrapText="1" readingOrder="1"/>
    </xf>
    <xf numFmtId="0" fontId="4" fillId="16" borderId="20" xfId="0" applyFont="1" applyFill="1" applyBorder="1" applyAlignment="1">
      <alignment horizontal="center" vertical="center" wrapText="1" readingOrder="1"/>
    </xf>
    <xf numFmtId="0" fontId="4" fillId="16" borderId="19" xfId="0" applyFont="1" applyFill="1" applyBorder="1" applyAlignment="1">
      <alignment horizontal="center" vertical="center" wrapText="1" readingOrder="1"/>
    </xf>
    <xf numFmtId="0" fontId="4" fillId="13" borderId="26" xfId="0" applyFont="1" applyFill="1" applyBorder="1" applyAlignment="1">
      <alignment horizontal="center" vertical="center" readingOrder="1"/>
    </xf>
    <xf numFmtId="0" fontId="4" fillId="13" borderId="17" xfId="0" applyFont="1" applyFill="1" applyBorder="1" applyAlignment="1">
      <alignment horizontal="center" vertical="center" readingOrder="1"/>
    </xf>
    <xf numFmtId="0" fontId="4" fillId="13" borderId="24" xfId="0" applyFont="1" applyFill="1" applyBorder="1" applyAlignment="1">
      <alignment horizontal="center" vertical="center" readingOrder="1"/>
    </xf>
    <xf numFmtId="0" fontId="4" fillId="12" borderId="24" xfId="0" applyFont="1" applyFill="1" applyBorder="1" applyAlignment="1">
      <alignment horizontal="center" vertical="center" readingOrder="1"/>
    </xf>
    <xf numFmtId="0" fontId="4" fillId="12" borderId="18" xfId="0" applyFont="1" applyFill="1" applyBorder="1" applyAlignment="1">
      <alignment horizontal="center" vertical="center" readingOrder="1"/>
    </xf>
    <xf numFmtId="0" fontId="4" fillId="12" borderId="17" xfId="0" applyFont="1" applyFill="1" applyBorder="1" applyAlignment="1">
      <alignment horizontal="center" vertical="center" readingOrder="1"/>
    </xf>
    <xf numFmtId="0" fontId="4" fillId="0" borderId="25" xfId="0" applyFont="1" applyBorder="1" applyAlignment="1">
      <alignment horizontal="center" vertical="center" readingOrder="1"/>
    </xf>
    <xf numFmtId="0" fontId="4" fillId="0" borderId="19" xfId="0" applyFont="1" applyBorder="1" applyAlignment="1">
      <alignment horizontal="center" vertical="center" readingOrder="1"/>
    </xf>
    <xf numFmtId="0" fontId="4" fillId="16" borderId="25" xfId="0" applyFont="1" applyFill="1" applyBorder="1" applyAlignment="1">
      <alignment horizontal="left" vertical="center" wrapText="1" readingOrder="1"/>
    </xf>
    <xf numFmtId="0" fontId="4" fillId="16" borderId="20" xfId="0" applyFont="1" applyFill="1" applyBorder="1" applyAlignment="1">
      <alignment horizontal="left" vertical="center" wrapText="1" readingOrder="1"/>
    </xf>
    <xf numFmtId="0" fontId="4" fillId="16" borderId="19" xfId="0" applyFont="1" applyFill="1" applyBorder="1" applyAlignment="1">
      <alignment horizontal="left" vertical="center" wrapText="1" readingOrder="1"/>
    </xf>
    <xf numFmtId="0" fontId="11" fillId="0" borderId="25" xfId="0" applyFont="1" applyBorder="1"/>
    <xf numFmtId="0" fontId="11" fillId="0" borderId="19" xfId="0" applyFont="1" applyBorder="1"/>
    <xf numFmtId="0" fontId="11" fillId="0" borderId="25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0" fillId="7" borderId="6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4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Filtering Results</a:t>
            </a:r>
            <a:endParaRPr lang="ar-S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Sheet1!$I$302:$L$302</c:f>
              <c:strCache>
                <c:ptCount val="4"/>
                <c:pt idx="0">
                  <c:v> FasText Embeddig</c:v>
                </c:pt>
                <c:pt idx="1">
                  <c:v>AraBert</c:v>
                </c:pt>
                <c:pt idx="2">
                  <c:v>mBert</c:v>
                </c:pt>
                <c:pt idx="3">
                  <c:v>TF-IDF</c:v>
                </c:pt>
              </c:strCache>
            </c:strRef>
          </c:cat>
          <c:val>
            <c:numRef>
              <c:f>Sheet1!$I$303:$L$303</c:f>
              <c:numCache>
                <c:formatCode>General</c:formatCode>
                <c:ptCount val="4"/>
                <c:pt idx="0">
                  <c:v>0.84</c:v>
                </c:pt>
                <c:pt idx="1">
                  <c:v>0.83</c:v>
                </c:pt>
                <c:pt idx="2">
                  <c:v>0.84</c:v>
                </c:pt>
                <c:pt idx="3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A-4585-A262-EE9AB22B2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9399872"/>
        <c:axId val="429395280"/>
      </c:barChart>
      <c:catAx>
        <c:axId val="4293998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95280"/>
        <c:crosses val="autoZero"/>
        <c:auto val="1"/>
        <c:lblAlgn val="ctr"/>
        <c:lblOffset val="100"/>
        <c:noMultiLvlLbl val="0"/>
      </c:catAx>
      <c:valAx>
        <c:axId val="42939528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399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Sheet1!$X$148:$X$149</c:f>
              <c:strCache>
                <c:ptCount val="2"/>
                <c:pt idx="0">
                  <c:v>Accuracy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Sheet1!$W$150:$W$154</c:f>
              <c:strCache>
                <c:ptCount val="5"/>
                <c:pt idx="0">
                  <c:v>FastText + SVM</c:v>
                </c:pt>
                <c:pt idx="1">
                  <c:v>AraBert +NN</c:v>
                </c:pt>
                <c:pt idx="2">
                  <c:v>mBert +KNN</c:v>
                </c:pt>
                <c:pt idx="3">
                  <c:v>TF-IDF +KNN</c:v>
                </c:pt>
                <c:pt idx="4">
                  <c:v>Distilli mBert +SVM</c:v>
                </c:pt>
              </c:strCache>
            </c:strRef>
          </c:cat>
          <c:val>
            <c:numRef>
              <c:f>Sheet1!$X$150:$X$154</c:f>
              <c:numCache>
                <c:formatCode>General</c:formatCode>
                <c:ptCount val="5"/>
                <c:pt idx="0">
                  <c:v>0.89</c:v>
                </c:pt>
                <c:pt idx="1">
                  <c:v>0.86</c:v>
                </c:pt>
                <c:pt idx="2">
                  <c:v>0.86</c:v>
                </c:pt>
                <c:pt idx="3">
                  <c:v>0.84</c:v>
                </c:pt>
                <c:pt idx="4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0-460C-B73A-8E22D44E7F46}"/>
            </c:ext>
          </c:extLst>
        </c:ser>
        <c:ser>
          <c:idx val="1"/>
          <c:order val="1"/>
          <c:tx>
            <c:strRef>
              <c:f>Sheet1!$Y$148:$Y$149</c:f>
              <c:strCache>
                <c:ptCount val="2"/>
                <c:pt idx="0">
                  <c:v>Accuracy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Sheet1!$W$150:$W$154</c:f>
              <c:strCache>
                <c:ptCount val="5"/>
                <c:pt idx="0">
                  <c:v>FastText + SVM</c:v>
                </c:pt>
                <c:pt idx="1">
                  <c:v>AraBert +NN</c:v>
                </c:pt>
                <c:pt idx="2">
                  <c:v>mBert +KNN</c:v>
                </c:pt>
                <c:pt idx="3">
                  <c:v>TF-IDF +KNN</c:v>
                </c:pt>
                <c:pt idx="4">
                  <c:v>Distilli mBert +SVM</c:v>
                </c:pt>
              </c:strCache>
            </c:strRef>
          </c:cat>
          <c:val>
            <c:numRef>
              <c:f>Sheet1!$Y$150:$Y$154</c:f>
              <c:numCache>
                <c:formatCode>General</c:formatCode>
                <c:ptCount val="5"/>
                <c:pt idx="0">
                  <c:v>0.84</c:v>
                </c:pt>
                <c:pt idx="1">
                  <c:v>0.82</c:v>
                </c:pt>
                <c:pt idx="2">
                  <c:v>0.84</c:v>
                </c:pt>
                <c:pt idx="3">
                  <c:v>0.81</c:v>
                </c:pt>
                <c:pt idx="4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20-460C-B73A-8E22D44E7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421400"/>
        <c:axId val="438810424"/>
      </c:barChart>
      <c:catAx>
        <c:axId val="4394214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8810424"/>
        <c:crosses val="autoZero"/>
        <c:auto val="1"/>
        <c:lblAlgn val="ctr"/>
        <c:lblOffset val="100"/>
        <c:noMultiLvlLbl val="0"/>
      </c:catAx>
      <c:valAx>
        <c:axId val="43881042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21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Sheet1!$X$156:$X$157</c:f>
              <c:strCache>
                <c:ptCount val="2"/>
                <c:pt idx="0">
                  <c:v>F1 Score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Sheet1!$W$158:$W$162</c:f>
              <c:strCache>
                <c:ptCount val="5"/>
                <c:pt idx="0">
                  <c:v>FastText + SVM</c:v>
                </c:pt>
                <c:pt idx="1">
                  <c:v>mBert +KNN</c:v>
                </c:pt>
                <c:pt idx="2">
                  <c:v>AraBert +NN</c:v>
                </c:pt>
                <c:pt idx="3">
                  <c:v>TF-IDF +KNN</c:v>
                </c:pt>
                <c:pt idx="4">
                  <c:v>Distilli mBert +SVM</c:v>
                </c:pt>
              </c:strCache>
            </c:strRef>
          </c:cat>
          <c:val>
            <c:numRef>
              <c:f>Sheet1!$X$158:$X$162</c:f>
              <c:numCache>
                <c:formatCode>General</c:formatCode>
                <c:ptCount val="5"/>
                <c:pt idx="0">
                  <c:v>0.86</c:v>
                </c:pt>
                <c:pt idx="1">
                  <c:v>0.83</c:v>
                </c:pt>
                <c:pt idx="2">
                  <c:v>0.85</c:v>
                </c:pt>
                <c:pt idx="3">
                  <c:v>0.82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A5-425F-AC62-3746734F3C32}"/>
            </c:ext>
          </c:extLst>
        </c:ser>
        <c:ser>
          <c:idx val="1"/>
          <c:order val="1"/>
          <c:tx>
            <c:strRef>
              <c:f>Sheet1!$Y$156:$Y$157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Sheet1!$W$158:$W$162</c:f>
              <c:strCache>
                <c:ptCount val="5"/>
                <c:pt idx="0">
                  <c:v>FastText + SVM</c:v>
                </c:pt>
                <c:pt idx="1">
                  <c:v>mBert +KNN</c:v>
                </c:pt>
                <c:pt idx="2">
                  <c:v>AraBert +NN</c:v>
                </c:pt>
                <c:pt idx="3">
                  <c:v>TF-IDF +KNN</c:v>
                </c:pt>
                <c:pt idx="4">
                  <c:v>Distilli mBert +SVM</c:v>
                </c:pt>
              </c:strCache>
            </c:strRef>
          </c:cat>
          <c:val>
            <c:numRef>
              <c:f>Sheet1!$Y$158:$Y$162</c:f>
              <c:numCache>
                <c:formatCode>General</c:formatCode>
                <c:ptCount val="5"/>
                <c:pt idx="0">
                  <c:v>0.79</c:v>
                </c:pt>
                <c:pt idx="1">
                  <c:v>0.8</c:v>
                </c:pt>
                <c:pt idx="2">
                  <c:v>0.79</c:v>
                </c:pt>
                <c:pt idx="3">
                  <c:v>0.78</c:v>
                </c:pt>
                <c:pt idx="4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A5-425F-AC62-3746734F3C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6602384"/>
        <c:axId val="446600088"/>
      </c:barChart>
      <c:catAx>
        <c:axId val="44660238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00088"/>
        <c:crosses val="autoZero"/>
        <c:auto val="1"/>
        <c:lblAlgn val="ctr"/>
        <c:lblOffset val="100"/>
        <c:noMultiLvlLbl val="0"/>
      </c:catAx>
      <c:valAx>
        <c:axId val="44660008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0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Sheet1!$AB$156:$AB$157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Sheet1!$AA$158:$AA$162</c:f>
              <c:strCache>
                <c:ptCount val="5"/>
                <c:pt idx="0">
                  <c:v>mBert +KNN</c:v>
                </c:pt>
                <c:pt idx="1">
                  <c:v>FastText + SVM</c:v>
                </c:pt>
                <c:pt idx="2">
                  <c:v>AraBert +NN</c:v>
                </c:pt>
                <c:pt idx="3">
                  <c:v>TF-IDF +KNN</c:v>
                </c:pt>
                <c:pt idx="4">
                  <c:v>Distilli mBert +SVM</c:v>
                </c:pt>
              </c:strCache>
            </c:strRef>
          </c:cat>
          <c:val>
            <c:numRef>
              <c:f>Sheet1!$AB$158:$AB$162</c:f>
              <c:numCache>
                <c:formatCode>General</c:formatCode>
                <c:ptCount val="5"/>
                <c:pt idx="0">
                  <c:v>0.8</c:v>
                </c:pt>
                <c:pt idx="1">
                  <c:v>0.79</c:v>
                </c:pt>
                <c:pt idx="2">
                  <c:v>0.79</c:v>
                </c:pt>
                <c:pt idx="3">
                  <c:v>0.78</c:v>
                </c:pt>
                <c:pt idx="4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52-4F20-B7CC-D4A64BD08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9415168"/>
        <c:axId val="439415496"/>
      </c:barChart>
      <c:catAx>
        <c:axId val="4394151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15496"/>
        <c:crosses val="autoZero"/>
        <c:auto val="1"/>
        <c:lblAlgn val="ctr"/>
        <c:lblOffset val="100"/>
        <c:noMultiLvlLbl val="0"/>
      </c:catAx>
      <c:valAx>
        <c:axId val="4394154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4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Sheet1!$AE$287:$AE$288</c:f>
              <c:strCache>
                <c:ptCount val="2"/>
                <c:pt idx="0">
                  <c:v>F1 Score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Sheet1!$AD$289:$AD$293</c:f>
              <c:strCache>
                <c:ptCount val="5"/>
                <c:pt idx="0">
                  <c:v>TF-IDF +NE +KNN</c:v>
                </c:pt>
                <c:pt idx="1">
                  <c:v>mBert +NE +LR</c:v>
                </c:pt>
                <c:pt idx="2">
                  <c:v>AraBert+ NE+ SVM</c:v>
                </c:pt>
                <c:pt idx="3">
                  <c:v>Distilli mBert +NE+</c:v>
                </c:pt>
                <c:pt idx="4">
                  <c:v>FastText+ NE+ KNN</c:v>
                </c:pt>
              </c:strCache>
            </c:strRef>
          </c:cat>
          <c:val>
            <c:numRef>
              <c:f>Sheet1!$AE$289:$AE$293</c:f>
              <c:numCache>
                <c:formatCode>General</c:formatCode>
                <c:ptCount val="5"/>
                <c:pt idx="0">
                  <c:v>0.8</c:v>
                </c:pt>
                <c:pt idx="1">
                  <c:v>0.78</c:v>
                </c:pt>
                <c:pt idx="2">
                  <c:v>0.69</c:v>
                </c:pt>
                <c:pt idx="3">
                  <c:v>0.72</c:v>
                </c:pt>
                <c:pt idx="4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F-49A7-BE85-2EB90C208F6A}"/>
            </c:ext>
          </c:extLst>
        </c:ser>
        <c:ser>
          <c:idx val="1"/>
          <c:order val="1"/>
          <c:tx>
            <c:strRef>
              <c:f>Sheet1!$AF$287:$AF$288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Sheet1!$AD$289:$AD$293</c:f>
              <c:strCache>
                <c:ptCount val="5"/>
                <c:pt idx="0">
                  <c:v>TF-IDF +NE +KNN</c:v>
                </c:pt>
                <c:pt idx="1">
                  <c:v>mBert +NE +LR</c:v>
                </c:pt>
                <c:pt idx="2">
                  <c:v>AraBert+ NE+ SVM</c:v>
                </c:pt>
                <c:pt idx="3">
                  <c:v>Distilli mBert +NE+</c:v>
                </c:pt>
                <c:pt idx="4">
                  <c:v>FastText+ NE+ KNN</c:v>
                </c:pt>
              </c:strCache>
            </c:strRef>
          </c:cat>
          <c:val>
            <c:numRef>
              <c:f>Sheet1!$AF$289:$AF$293</c:f>
              <c:numCache>
                <c:formatCode>General</c:formatCode>
                <c:ptCount val="5"/>
                <c:pt idx="0">
                  <c:v>0.74</c:v>
                </c:pt>
                <c:pt idx="1">
                  <c:v>0.73</c:v>
                </c:pt>
                <c:pt idx="2">
                  <c:v>0.63</c:v>
                </c:pt>
                <c:pt idx="3">
                  <c:v>0.63</c:v>
                </c:pt>
                <c:pt idx="4">
                  <c:v>0.42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F-49A7-BE85-2EB90C208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0918472"/>
        <c:axId val="439176184"/>
      </c:barChart>
      <c:catAx>
        <c:axId val="3709184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76184"/>
        <c:crosses val="autoZero"/>
        <c:auto val="1"/>
        <c:lblAlgn val="ctr"/>
        <c:lblOffset val="100"/>
        <c:noMultiLvlLbl val="0"/>
      </c:catAx>
      <c:valAx>
        <c:axId val="4391761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0918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Sheet1!$AB$265</c:f>
              <c:strCache>
                <c:ptCount val="1"/>
                <c:pt idx="0">
                  <c:v>TF-IDF +NE +KNN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Sheet1!$AC$263:$AJ$264</c:f>
              <c:multiLvlStrCache>
                <c:ptCount val="8"/>
                <c:lvl>
                  <c:pt idx="0">
                    <c:v>Train</c:v>
                  </c:pt>
                  <c:pt idx="1">
                    <c:v>Test</c:v>
                  </c:pt>
                  <c:pt idx="2">
                    <c:v>Train</c:v>
                  </c:pt>
                  <c:pt idx="3">
                    <c:v>Test</c:v>
                  </c:pt>
                  <c:pt idx="4">
                    <c:v>Train</c:v>
                  </c:pt>
                  <c:pt idx="5">
                    <c:v>Test</c:v>
                  </c:pt>
                  <c:pt idx="6">
                    <c:v>Train</c:v>
                  </c:pt>
                  <c:pt idx="7">
                    <c:v>Test</c:v>
                  </c:pt>
                </c:lvl>
                <c:lvl>
                  <c:pt idx="0">
                    <c:v>Accuracy</c:v>
                  </c:pt>
                  <c:pt idx="2">
                    <c:v>Recall</c:v>
                  </c:pt>
                  <c:pt idx="4">
                    <c:v>Precision</c:v>
                  </c:pt>
                  <c:pt idx="6">
                    <c:v>F1 Score</c:v>
                  </c:pt>
                </c:lvl>
              </c:multiLvlStrCache>
            </c:multiLvlStrRef>
          </c:cat>
          <c:val>
            <c:numRef>
              <c:f>Sheet1!$AC$265:$AJ$265</c:f>
              <c:numCache>
                <c:formatCode>General</c:formatCode>
                <c:ptCount val="8"/>
                <c:pt idx="0">
                  <c:v>0.83</c:v>
                </c:pt>
                <c:pt idx="1">
                  <c:v>0.74</c:v>
                </c:pt>
                <c:pt idx="2">
                  <c:v>0.92</c:v>
                </c:pt>
                <c:pt idx="3">
                  <c:v>0.87</c:v>
                </c:pt>
                <c:pt idx="4">
                  <c:v>0.85</c:v>
                </c:pt>
                <c:pt idx="5">
                  <c:v>0.79</c:v>
                </c:pt>
                <c:pt idx="6">
                  <c:v>0.8</c:v>
                </c:pt>
                <c:pt idx="7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9C-40D4-8F71-55C05DE4FC6E}"/>
            </c:ext>
          </c:extLst>
        </c:ser>
        <c:ser>
          <c:idx val="1"/>
          <c:order val="1"/>
          <c:tx>
            <c:strRef>
              <c:f>Sheet1!$AB$266</c:f>
              <c:strCache>
                <c:ptCount val="1"/>
                <c:pt idx="0">
                  <c:v>mBert +KNN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Sheet1!$AC$263:$AJ$264</c:f>
              <c:multiLvlStrCache>
                <c:ptCount val="8"/>
                <c:lvl>
                  <c:pt idx="0">
                    <c:v>Train</c:v>
                  </c:pt>
                  <c:pt idx="1">
                    <c:v>Test</c:v>
                  </c:pt>
                  <c:pt idx="2">
                    <c:v>Train</c:v>
                  </c:pt>
                  <c:pt idx="3">
                    <c:v>Test</c:v>
                  </c:pt>
                  <c:pt idx="4">
                    <c:v>Train</c:v>
                  </c:pt>
                  <c:pt idx="5">
                    <c:v>Test</c:v>
                  </c:pt>
                  <c:pt idx="6">
                    <c:v>Train</c:v>
                  </c:pt>
                  <c:pt idx="7">
                    <c:v>Test</c:v>
                  </c:pt>
                </c:lvl>
                <c:lvl>
                  <c:pt idx="0">
                    <c:v>Accuracy</c:v>
                  </c:pt>
                  <c:pt idx="2">
                    <c:v>Recall</c:v>
                  </c:pt>
                  <c:pt idx="4">
                    <c:v>Precision</c:v>
                  </c:pt>
                  <c:pt idx="6">
                    <c:v>F1 Score</c:v>
                  </c:pt>
                </c:lvl>
              </c:multiLvlStrCache>
            </c:multiLvlStrRef>
          </c:cat>
          <c:val>
            <c:numRef>
              <c:f>Sheet1!$AC$266:$AJ$266</c:f>
              <c:numCache>
                <c:formatCode>General</c:formatCode>
                <c:ptCount val="8"/>
                <c:pt idx="0">
                  <c:v>0.86</c:v>
                </c:pt>
                <c:pt idx="1">
                  <c:v>0.84</c:v>
                </c:pt>
                <c:pt idx="2">
                  <c:v>0.91</c:v>
                </c:pt>
                <c:pt idx="3">
                  <c:v>0.89</c:v>
                </c:pt>
                <c:pt idx="4">
                  <c:v>0.88</c:v>
                </c:pt>
                <c:pt idx="5">
                  <c:v>0.88</c:v>
                </c:pt>
                <c:pt idx="6">
                  <c:v>0.83</c:v>
                </c:pt>
                <c:pt idx="7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9C-40D4-8F71-55C05DE4F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2484944"/>
        <c:axId val="512481992"/>
      </c:barChart>
      <c:catAx>
        <c:axId val="51248494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81992"/>
        <c:crosses val="autoZero"/>
        <c:auto val="1"/>
        <c:lblAlgn val="ctr"/>
        <c:lblOffset val="100"/>
        <c:noMultiLvlLbl val="0"/>
      </c:catAx>
      <c:valAx>
        <c:axId val="5124819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484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Sheet1!$AF$270:$AF$271</c:f>
              <c:strCache>
                <c:ptCount val="2"/>
                <c:pt idx="0">
                  <c:v>F1 Score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Sheet1!$AE$272:$AE$273</c:f>
              <c:strCache>
                <c:ptCount val="2"/>
                <c:pt idx="0">
                  <c:v>TF-IDF +NE +KNN</c:v>
                </c:pt>
                <c:pt idx="1">
                  <c:v>mBert +KNN</c:v>
                </c:pt>
              </c:strCache>
            </c:strRef>
          </c:cat>
          <c:val>
            <c:numRef>
              <c:f>Sheet1!$AF$272:$AF$273</c:f>
              <c:numCache>
                <c:formatCode>General</c:formatCode>
                <c:ptCount val="2"/>
                <c:pt idx="0">
                  <c:v>0.8</c:v>
                </c:pt>
                <c:pt idx="1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B2-43A6-A618-586E1B35DF28}"/>
            </c:ext>
          </c:extLst>
        </c:ser>
        <c:ser>
          <c:idx val="1"/>
          <c:order val="1"/>
          <c:tx>
            <c:strRef>
              <c:f>Sheet1!$AG$270:$AG$271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Sheet1!$AE$272:$AE$273</c:f>
              <c:strCache>
                <c:ptCount val="2"/>
                <c:pt idx="0">
                  <c:v>TF-IDF +NE +KNN</c:v>
                </c:pt>
                <c:pt idx="1">
                  <c:v>mBert +KNN</c:v>
                </c:pt>
              </c:strCache>
            </c:strRef>
          </c:cat>
          <c:val>
            <c:numRef>
              <c:f>Sheet1!$AG$272:$AG$273</c:f>
              <c:numCache>
                <c:formatCode>General</c:formatCode>
                <c:ptCount val="2"/>
                <c:pt idx="0">
                  <c:v>0.74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B2-43A6-A618-586E1B35D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3539576"/>
        <c:axId val="583541216"/>
      </c:barChart>
      <c:catAx>
        <c:axId val="5835395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41216"/>
        <c:crosses val="autoZero"/>
        <c:auto val="1"/>
        <c:lblAlgn val="ctr"/>
        <c:lblOffset val="100"/>
        <c:noMultiLvlLbl val="0"/>
      </c:catAx>
      <c:valAx>
        <c:axId val="5835412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539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Sheet1!$AI$355:$AI$356</c:f>
              <c:strCache>
                <c:ptCount val="2"/>
                <c:pt idx="0">
                  <c:v>F1 Score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Sheet1!$AH$357:$AH$361</c:f>
              <c:strCache>
                <c:ptCount val="5"/>
                <c:pt idx="0">
                  <c:v>AraBert+ WNE+ KNN</c:v>
                </c:pt>
                <c:pt idx="1">
                  <c:v>FastText+ WNE+ LR</c:v>
                </c:pt>
                <c:pt idx="2">
                  <c:v>TF-IDF +WNE +KNN</c:v>
                </c:pt>
                <c:pt idx="3">
                  <c:v>mBert +WNE KNN</c:v>
                </c:pt>
                <c:pt idx="4">
                  <c:v>Distilli mBert +WNE LR</c:v>
                </c:pt>
              </c:strCache>
            </c:strRef>
          </c:cat>
          <c:val>
            <c:numRef>
              <c:f>Sheet1!$AI$357:$AI$361</c:f>
              <c:numCache>
                <c:formatCode>General</c:formatCode>
                <c:ptCount val="5"/>
                <c:pt idx="0">
                  <c:v>0.82</c:v>
                </c:pt>
                <c:pt idx="1">
                  <c:v>0.81</c:v>
                </c:pt>
                <c:pt idx="2">
                  <c:v>0.8</c:v>
                </c:pt>
                <c:pt idx="3">
                  <c:v>0.81</c:v>
                </c:pt>
                <c:pt idx="4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E-40A7-9695-C5DA06FBBF97}"/>
            </c:ext>
          </c:extLst>
        </c:ser>
        <c:ser>
          <c:idx val="1"/>
          <c:order val="1"/>
          <c:tx>
            <c:strRef>
              <c:f>Sheet1!$AJ$355:$AJ$356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Sheet1!$AH$357:$AH$361</c:f>
              <c:strCache>
                <c:ptCount val="5"/>
                <c:pt idx="0">
                  <c:v>AraBert+ WNE+ KNN</c:v>
                </c:pt>
                <c:pt idx="1">
                  <c:v>FastText+ WNE+ LR</c:v>
                </c:pt>
                <c:pt idx="2">
                  <c:v>TF-IDF +WNE +KNN</c:v>
                </c:pt>
                <c:pt idx="3">
                  <c:v>mBert +WNE KNN</c:v>
                </c:pt>
                <c:pt idx="4">
                  <c:v>Distilli mBert +WNE LR</c:v>
                </c:pt>
              </c:strCache>
            </c:strRef>
          </c:cat>
          <c:val>
            <c:numRef>
              <c:f>Sheet1!$AJ$357:$AJ$361</c:f>
              <c:numCache>
                <c:formatCode>General</c:formatCode>
                <c:ptCount val="5"/>
                <c:pt idx="0">
                  <c:v>0.79</c:v>
                </c:pt>
                <c:pt idx="1">
                  <c:v>0.76</c:v>
                </c:pt>
                <c:pt idx="2">
                  <c:v>0.75</c:v>
                </c:pt>
                <c:pt idx="3">
                  <c:v>0.75</c:v>
                </c:pt>
                <c:pt idx="4">
                  <c:v>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5E-40A7-9695-C5DA06FBB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3349160"/>
        <c:axId val="439173560"/>
      </c:barChart>
      <c:catAx>
        <c:axId val="59334916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173560"/>
        <c:crosses val="autoZero"/>
        <c:auto val="1"/>
        <c:lblAlgn val="ctr"/>
        <c:lblOffset val="100"/>
        <c:noMultiLvlLbl val="0"/>
      </c:catAx>
      <c:valAx>
        <c:axId val="4391735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349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Sheet1!$AI$375:$AI$376</c:f>
              <c:strCache>
                <c:ptCount val="2"/>
                <c:pt idx="0">
                  <c:v>F1 Score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Sheet1!$AH$377:$AH$378</c:f>
              <c:strCache>
                <c:ptCount val="2"/>
                <c:pt idx="0">
                  <c:v>AraBert+ WNE+ KNN</c:v>
                </c:pt>
                <c:pt idx="1">
                  <c:v>mBert +KNN</c:v>
                </c:pt>
              </c:strCache>
            </c:strRef>
          </c:cat>
          <c:val>
            <c:numRef>
              <c:f>Sheet1!$AI$377:$AI$378</c:f>
              <c:numCache>
                <c:formatCode>General</c:formatCode>
                <c:ptCount val="2"/>
                <c:pt idx="0">
                  <c:v>0.82</c:v>
                </c:pt>
                <c:pt idx="1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E-438B-8C11-9A2895472342}"/>
            </c:ext>
          </c:extLst>
        </c:ser>
        <c:ser>
          <c:idx val="1"/>
          <c:order val="1"/>
          <c:tx>
            <c:strRef>
              <c:f>Sheet1!$AJ$375:$AJ$376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Sheet1!$AH$377:$AH$378</c:f>
              <c:strCache>
                <c:ptCount val="2"/>
                <c:pt idx="0">
                  <c:v>AraBert+ WNE+ KNN</c:v>
                </c:pt>
                <c:pt idx="1">
                  <c:v>mBert +KNN</c:v>
                </c:pt>
              </c:strCache>
            </c:strRef>
          </c:cat>
          <c:val>
            <c:numRef>
              <c:f>Sheet1!$AJ$377:$AJ$378</c:f>
              <c:numCache>
                <c:formatCode>General</c:formatCode>
                <c:ptCount val="2"/>
                <c:pt idx="0">
                  <c:v>0.79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BE-438B-8C11-9A2895472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70752"/>
        <c:axId val="447171408"/>
      </c:barChart>
      <c:catAx>
        <c:axId val="44717075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71408"/>
        <c:crosses val="autoZero"/>
        <c:auto val="1"/>
        <c:lblAlgn val="ctr"/>
        <c:lblOffset val="100"/>
        <c:noMultiLvlLbl val="0"/>
      </c:catAx>
      <c:valAx>
        <c:axId val="447171408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1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Sheet1!$AA$411:$AA$412</c:f>
              <c:strCache>
                <c:ptCount val="2"/>
                <c:pt idx="0">
                  <c:v>F1 Score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Sheet1!$Z$413:$Z$417</c:f>
              <c:strCache>
                <c:ptCount val="5"/>
                <c:pt idx="0">
                  <c:v>TF-IDF +P +KNN</c:v>
                </c:pt>
                <c:pt idx="1">
                  <c:v>AraBert+ P+ LR</c:v>
                </c:pt>
                <c:pt idx="2">
                  <c:v>mBert +P +LR</c:v>
                </c:pt>
                <c:pt idx="3">
                  <c:v>FastText+ P  +NB</c:v>
                </c:pt>
                <c:pt idx="4">
                  <c:v>Distilli mBert +P +KNN</c:v>
                </c:pt>
              </c:strCache>
            </c:strRef>
          </c:cat>
          <c:val>
            <c:numRef>
              <c:f>Sheet1!$AA$413:$AA$417</c:f>
              <c:numCache>
                <c:formatCode>General</c:formatCode>
                <c:ptCount val="5"/>
                <c:pt idx="0">
                  <c:v>0.83</c:v>
                </c:pt>
                <c:pt idx="1">
                  <c:v>0.85</c:v>
                </c:pt>
                <c:pt idx="2">
                  <c:v>0.85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4-4473-B384-711EF5CF5815}"/>
            </c:ext>
          </c:extLst>
        </c:ser>
        <c:ser>
          <c:idx val="1"/>
          <c:order val="1"/>
          <c:tx>
            <c:strRef>
              <c:f>Sheet1!$AB$411:$AB$412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Sheet1!$Z$413:$Z$417</c:f>
              <c:strCache>
                <c:ptCount val="5"/>
                <c:pt idx="0">
                  <c:v>TF-IDF +P +KNN</c:v>
                </c:pt>
                <c:pt idx="1">
                  <c:v>AraBert+ P+ LR</c:v>
                </c:pt>
                <c:pt idx="2">
                  <c:v>mBert +P +LR</c:v>
                </c:pt>
                <c:pt idx="3">
                  <c:v>FastText+ P  +NB</c:v>
                </c:pt>
                <c:pt idx="4">
                  <c:v>Distilli mBert +P +KNN</c:v>
                </c:pt>
              </c:strCache>
            </c:strRef>
          </c:cat>
          <c:val>
            <c:numRef>
              <c:f>Sheet1!$AB$413:$AB$417</c:f>
              <c:numCache>
                <c:formatCode>General</c:formatCode>
                <c:ptCount val="5"/>
                <c:pt idx="0">
                  <c:v>0.8</c:v>
                </c:pt>
                <c:pt idx="1">
                  <c:v>0.79</c:v>
                </c:pt>
                <c:pt idx="2">
                  <c:v>0.79</c:v>
                </c:pt>
                <c:pt idx="3">
                  <c:v>0.78</c:v>
                </c:pt>
                <c:pt idx="4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4-4473-B384-711EF5CF5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7522408"/>
        <c:axId val="507523392"/>
      </c:barChart>
      <c:catAx>
        <c:axId val="50752240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23392"/>
        <c:crosses val="autoZero"/>
        <c:auto val="1"/>
        <c:lblAlgn val="ctr"/>
        <c:lblOffset val="100"/>
        <c:noMultiLvlLbl val="0"/>
      </c:catAx>
      <c:valAx>
        <c:axId val="50752339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522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ar-S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Sheet1!$AA$427:$AA$428</c:f>
              <c:strCache>
                <c:ptCount val="2"/>
                <c:pt idx="0">
                  <c:v>F1 Score</c:v>
                </c:pt>
                <c:pt idx="1">
                  <c:v>Train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Sheet1!$Z$429:$Z$430</c:f>
              <c:strCache>
                <c:ptCount val="2"/>
                <c:pt idx="0">
                  <c:v>TF-IDF +P +KNN</c:v>
                </c:pt>
                <c:pt idx="1">
                  <c:v>mBert +KNN</c:v>
                </c:pt>
              </c:strCache>
            </c:strRef>
          </c:cat>
          <c:val>
            <c:numRef>
              <c:f>Sheet1!$AA$429:$AA$430</c:f>
              <c:numCache>
                <c:formatCode>General</c:formatCode>
                <c:ptCount val="2"/>
                <c:pt idx="0">
                  <c:v>0.83</c:v>
                </c:pt>
                <c:pt idx="1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C2-4E72-9A6D-F54EC0DE676A}"/>
            </c:ext>
          </c:extLst>
        </c:ser>
        <c:ser>
          <c:idx val="1"/>
          <c:order val="1"/>
          <c:tx>
            <c:strRef>
              <c:f>Sheet1!$AB$427:$AB$428</c:f>
              <c:strCache>
                <c:ptCount val="2"/>
                <c:pt idx="0">
                  <c:v>F1 Score</c:v>
                </c:pt>
                <c:pt idx="1">
                  <c:v>Test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Sheet1!$Z$429:$Z$430</c:f>
              <c:strCache>
                <c:ptCount val="2"/>
                <c:pt idx="0">
                  <c:v>TF-IDF +P +KNN</c:v>
                </c:pt>
                <c:pt idx="1">
                  <c:v>mBert +KNN</c:v>
                </c:pt>
              </c:strCache>
            </c:strRef>
          </c:cat>
          <c:val>
            <c:numRef>
              <c:f>Sheet1!$AB$429:$AB$430</c:f>
              <c:numCache>
                <c:formatCode>General</c:formatCode>
                <c:ptCount val="2"/>
                <c:pt idx="0">
                  <c:v>0.8</c:v>
                </c:pt>
                <c:pt idx="1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C2-4E72-9A6D-F54EC0DE6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3809592"/>
        <c:axId val="443811232"/>
      </c:barChart>
      <c:catAx>
        <c:axId val="44380959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11232"/>
        <c:crosses val="autoZero"/>
        <c:auto val="1"/>
        <c:lblAlgn val="ctr"/>
        <c:lblOffset val="100"/>
        <c:noMultiLvlLbl val="0"/>
      </c:catAx>
      <c:valAx>
        <c:axId val="443811232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809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550333</xdr:colOff>
      <xdr:row>301</xdr:row>
      <xdr:rowOff>134761</xdr:rowOff>
    </xdr:from>
    <xdr:to>
      <xdr:col>19</xdr:col>
      <xdr:colOff>268111</xdr:colOff>
      <xdr:row>316</xdr:row>
      <xdr:rowOff>126294</xdr:rowOff>
    </xdr:to>
    <xdr:graphicFrame macro="">
      <xdr:nvGraphicFramePr>
        <xdr:cNvPr id="6" name="مخطط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529166</xdr:colOff>
      <xdr:row>137</xdr:row>
      <xdr:rowOff>120650</xdr:rowOff>
    </xdr:from>
    <xdr:to>
      <xdr:col>19</xdr:col>
      <xdr:colOff>246944</xdr:colOff>
      <xdr:row>152</xdr:row>
      <xdr:rowOff>6350</xdr:rowOff>
    </xdr:to>
    <xdr:graphicFrame macro="">
      <xdr:nvGraphicFramePr>
        <xdr:cNvPr id="5" name="مخطط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500945</xdr:colOff>
      <xdr:row>153</xdr:row>
      <xdr:rowOff>57152</xdr:rowOff>
    </xdr:from>
    <xdr:to>
      <xdr:col>19</xdr:col>
      <xdr:colOff>218723</xdr:colOff>
      <xdr:row>167</xdr:row>
      <xdr:rowOff>168629</xdr:rowOff>
    </xdr:to>
    <xdr:graphicFrame macro="">
      <xdr:nvGraphicFramePr>
        <xdr:cNvPr id="7" name="مخطط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980723</xdr:colOff>
      <xdr:row>153</xdr:row>
      <xdr:rowOff>120650</xdr:rowOff>
    </xdr:from>
    <xdr:to>
      <xdr:col>10</xdr:col>
      <xdr:colOff>486834</xdr:colOff>
      <xdr:row>168</xdr:row>
      <xdr:rowOff>48683</xdr:rowOff>
    </xdr:to>
    <xdr:graphicFrame macro="">
      <xdr:nvGraphicFramePr>
        <xdr:cNvPr id="8" name="مخطط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578556</xdr:colOff>
      <xdr:row>283</xdr:row>
      <xdr:rowOff>78316</xdr:rowOff>
    </xdr:from>
    <xdr:to>
      <xdr:col>27</xdr:col>
      <xdr:colOff>296334</xdr:colOff>
      <xdr:row>297</xdr:row>
      <xdr:rowOff>154516</xdr:rowOff>
    </xdr:to>
    <xdr:graphicFrame macro="">
      <xdr:nvGraphicFramePr>
        <xdr:cNvPr id="9" name="مخطط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599723</xdr:colOff>
      <xdr:row>259</xdr:row>
      <xdr:rowOff>148872</xdr:rowOff>
    </xdr:from>
    <xdr:to>
      <xdr:col>26</xdr:col>
      <xdr:colOff>317500</xdr:colOff>
      <xdr:row>274</xdr:row>
      <xdr:rowOff>98072</xdr:rowOff>
    </xdr:to>
    <xdr:graphicFrame macro="">
      <xdr:nvGraphicFramePr>
        <xdr:cNvPr id="10" name="مخطط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783166</xdr:colOff>
      <xdr:row>260</xdr:row>
      <xdr:rowOff>705</xdr:rowOff>
    </xdr:from>
    <xdr:to>
      <xdr:col>18</xdr:col>
      <xdr:colOff>28222</xdr:colOff>
      <xdr:row>274</xdr:row>
      <xdr:rowOff>98072</xdr:rowOff>
    </xdr:to>
    <xdr:graphicFrame macro="">
      <xdr:nvGraphicFramePr>
        <xdr:cNvPr id="11" name="مخطط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310445</xdr:colOff>
      <xdr:row>352</xdr:row>
      <xdr:rowOff>177094</xdr:rowOff>
    </xdr:from>
    <xdr:to>
      <xdr:col>30</xdr:col>
      <xdr:colOff>28222</xdr:colOff>
      <xdr:row>367</xdr:row>
      <xdr:rowOff>62794</xdr:rowOff>
    </xdr:to>
    <xdr:graphicFrame macro="">
      <xdr:nvGraphicFramePr>
        <xdr:cNvPr id="12" name="مخطط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451556</xdr:colOff>
      <xdr:row>367</xdr:row>
      <xdr:rowOff>99483</xdr:rowOff>
    </xdr:from>
    <xdr:to>
      <xdr:col>32</xdr:col>
      <xdr:colOff>169334</xdr:colOff>
      <xdr:row>382</xdr:row>
      <xdr:rowOff>48683</xdr:rowOff>
    </xdr:to>
    <xdr:graphicFrame macro="">
      <xdr:nvGraphicFramePr>
        <xdr:cNvPr id="14" name="مخطط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15</xdr:col>
      <xdr:colOff>592666</xdr:colOff>
      <xdr:row>408</xdr:row>
      <xdr:rowOff>64205</xdr:rowOff>
    </xdr:from>
    <xdr:to>
      <xdr:col>23</xdr:col>
      <xdr:colOff>310444</xdr:colOff>
      <xdr:row>422</xdr:row>
      <xdr:rowOff>140405</xdr:rowOff>
    </xdr:to>
    <xdr:graphicFrame macro="">
      <xdr:nvGraphicFramePr>
        <xdr:cNvPr id="15" name="مخطط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134056</xdr:colOff>
      <xdr:row>420</xdr:row>
      <xdr:rowOff>50094</xdr:rowOff>
    </xdr:from>
    <xdr:to>
      <xdr:col>31</xdr:col>
      <xdr:colOff>458612</xdr:colOff>
      <xdr:row>434</xdr:row>
      <xdr:rowOff>154516</xdr:rowOff>
    </xdr:to>
    <xdr:graphicFrame macro="">
      <xdr:nvGraphicFramePr>
        <xdr:cNvPr id="16" name="مخطط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44"/>
  <sheetViews>
    <sheetView tabSelected="1" topLeftCell="U394" zoomScale="90" zoomScaleNormal="90" workbookViewId="0">
      <selection activeCell="Z407" sqref="Z407"/>
    </sheetView>
  </sheetViews>
  <sheetFormatPr defaultRowHeight="14.5" x14ac:dyDescent="0.35"/>
  <cols>
    <col min="2" max="2" width="6.1796875" customWidth="1"/>
    <col min="3" max="3" width="9.1796875" hidden="1" customWidth="1"/>
    <col min="4" max="4" width="9.1796875" customWidth="1"/>
    <col min="5" max="5" width="11.453125" customWidth="1"/>
    <col min="6" max="6" width="27" customWidth="1"/>
    <col min="10" max="10" width="19.453125" customWidth="1"/>
    <col min="11" max="11" width="15.453125" customWidth="1"/>
  </cols>
  <sheetData>
    <row r="1" spans="1:33" x14ac:dyDescent="0.3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39.75" customHeight="1" x14ac:dyDescent="0.55000000000000004">
      <c r="A2" s="3"/>
      <c r="B2" s="3"/>
      <c r="C2" s="3"/>
      <c r="D2" s="108" t="s">
        <v>15</v>
      </c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3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1:33" ht="15" customHeight="1" x14ac:dyDescent="0.35">
      <c r="A3" s="3"/>
      <c r="B3" s="3"/>
      <c r="C3" s="3"/>
      <c r="D3" s="115" t="s">
        <v>16</v>
      </c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5"/>
      <c r="S3" s="115"/>
      <c r="T3" s="115"/>
      <c r="U3" s="3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ht="49.5" customHeight="1" x14ac:dyDescent="0.35">
      <c r="A4" s="3"/>
      <c r="B4" s="3"/>
      <c r="C4" s="3"/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6"/>
      <c r="P4" s="116"/>
      <c r="Q4" s="116"/>
      <c r="R4" s="116"/>
      <c r="S4" s="116"/>
      <c r="T4" s="116"/>
      <c r="U4" s="3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</row>
    <row r="5" spans="1:33" x14ac:dyDescent="0.35">
      <c r="A5" s="3"/>
      <c r="B5" s="3"/>
      <c r="C5" s="3"/>
      <c r="D5" s="2" t="s">
        <v>0</v>
      </c>
      <c r="E5" s="110" t="s">
        <v>1</v>
      </c>
      <c r="F5" s="110"/>
      <c r="G5" s="111" t="s">
        <v>2</v>
      </c>
      <c r="H5" s="112"/>
      <c r="I5" s="112"/>
      <c r="J5" s="113"/>
      <c r="K5" s="117" t="s">
        <v>10</v>
      </c>
      <c r="L5" s="118"/>
      <c r="M5" s="111" t="s">
        <v>3</v>
      </c>
      <c r="N5" s="112"/>
      <c r="O5" s="112"/>
      <c r="P5" s="112"/>
      <c r="Q5" s="112"/>
      <c r="R5" s="112"/>
      <c r="S5" s="112"/>
      <c r="T5" s="113"/>
      <c r="U5" s="3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</row>
    <row r="6" spans="1:33" x14ac:dyDescent="0.35">
      <c r="A6" s="3"/>
      <c r="B6" s="3"/>
      <c r="C6" s="3"/>
      <c r="D6" s="114"/>
      <c r="E6" s="114"/>
      <c r="F6" s="114"/>
      <c r="G6" s="119"/>
      <c r="H6" s="120"/>
      <c r="I6" s="120"/>
      <c r="J6" s="121"/>
      <c r="K6" s="103"/>
      <c r="L6" s="103"/>
      <c r="M6" s="125" t="s">
        <v>4</v>
      </c>
      <c r="N6" s="126"/>
      <c r="O6" s="125" t="s">
        <v>7</v>
      </c>
      <c r="P6" s="126"/>
      <c r="Q6" s="125" t="s">
        <v>9</v>
      </c>
      <c r="R6" s="126"/>
      <c r="S6" s="125" t="s">
        <v>8</v>
      </c>
      <c r="T6" s="126"/>
      <c r="U6" s="3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</row>
    <row r="7" spans="1:33" x14ac:dyDescent="0.35">
      <c r="A7" s="3"/>
      <c r="B7" s="3"/>
      <c r="C7" s="3"/>
      <c r="D7" s="114"/>
      <c r="E7" s="114"/>
      <c r="F7" s="114"/>
      <c r="G7" s="122"/>
      <c r="H7" s="123"/>
      <c r="I7" s="123"/>
      <c r="J7" s="124"/>
      <c r="K7" s="103"/>
      <c r="L7" s="103"/>
      <c r="M7" s="1" t="s">
        <v>5</v>
      </c>
      <c r="N7" s="1" t="s">
        <v>6</v>
      </c>
      <c r="O7" s="1" t="s">
        <v>5</v>
      </c>
      <c r="P7" s="1" t="s">
        <v>6</v>
      </c>
      <c r="Q7" s="1" t="s">
        <v>5</v>
      </c>
      <c r="R7" s="1" t="s">
        <v>6</v>
      </c>
      <c r="S7" s="1" t="s">
        <v>5</v>
      </c>
      <c r="T7" s="1" t="s">
        <v>6</v>
      </c>
      <c r="U7" s="3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8" spans="1:33" x14ac:dyDescent="0.35">
      <c r="A8" s="3"/>
      <c r="B8" s="3"/>
      <c r="C8" s="3"/>
      <c r="D8" s="100" t="s">
        <v>17</v>
      </c>
      <c r="E8" s="102" t="s">
        <v>18</v>
      </c>
      <c r="F8" s="102"/>
      <c r="G8" s="103" t="s">
        <v>19</v>
      </c>
      <c r="H8" s="103"/>
      <c r="I8" s="103"/>
      <c r="J8" s="103"/>
      <c r="K8" s="104" t="s">
        <v>14</v>
      </c>
      <c r="L8" s="104"/>
      <c r="M8" s="15" t="s">
        <v>27</v>
      </c>
      <c r="N8" s="15" t="s">
        <v>28</v>
      </c>
      <c r="O8" s="15">
        <v>0.9</v>
      </c>
      <c r="P8" s="15">
        <v>0.89</v>
      </c>
      <c r="Q8" s="15" t="s">
        <v>29</v>
      </c>
      <c r="R8" s="15" t="s">
        <v>29</v>
      </c>
      <c r="S8" s="15" t="s">
        <v>30</v>
      </c>
      <c r="T8" s="15" t="s">
        <v>31</v>
      </c>
      <c r="U8" s="3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</row>
    <row r="9" spans="1:33" x14ac:dyDescent="0.35">
      <c r="A9" s="3"/>
      <c r="B9" s="3"/>
      <c r="C9" s="3"/>
      <c r="D9" s="101"/>
      <c r="E9" s="102"/>
      <c r="F9" s="102"/>
      <c r="G9" s="103"/>
      <c r="H9" s="103"/>
      <c r="I9" s="103"/>
      <c r="J9" s="103"/>
      <c r="K9" s="105" t="s">
        <v>13</v>
      </c>
      <c r="L9" s="106"/>
      <c r="M9" s="16" t="s">
        <v>32</v>
      </c>
      <c r="N9" s="16" t="s">
        <v>33</v>
      </c>
      <c r="O9" s="16">
        <v>0.93</v>
      </c>
      <c r="P9" s="16" t="s">
        <v>34</v>
      </c>
      <c r="Q9" s="16">
        <v>0.88</v>
      </c>
      <c r="R9" s="16" t="s">
        <v>35</v>
      </c>
      <c r="S9" s="16">
        <v>0.81</v>
      </c>
      <c r="T9" s="16" t="s">
        <v>36</v>
      </c>
      <c r="U9" s="3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1:33" x14ac:dyDescent="0.35">
      <c r="A10" s="3"/>
      <c r="B10" s="3"/>
      <c r="C10" s="3"/>
      <c r="D10" s="101"/>
      <c r="E10" s="102"/>
      <c r="F10" s="102"/>
      <c r="G10" s="103"/>
      <c r="H10" s="103"/>
      <c r="I10" s="103"/>
      <c r="J10" s="103"/>
      <c r="K10" s="104" t="s">
        <v>12</v>
      </c>
      <c r="L10" s="104"/>
      <c r="M10" s="15" t="s">
        <v>34</v>
      </c>
      <c r="N10" s="17" t="s">
        <v>37</v>
      </c>
      <c r="O10" s="15" t="s">
        <v>38</v>
      </c>
      <c r="P10" s="15">
        <v>0.9</v>
      </c>
      <c r="Q10" s="15" t="s">
        <v>39</v>
      </c>
      <c r="R10" s="15" t="s">
        <v>34</v>
      </c>
      <c r="S10" s="15" t="s">
        <v>29</v>
      </c>
      <c r="T10" s="17" t="s">
        <v>40</v>
      </c>
      <c r="U10" s="3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</row>
    <row r="11" spans="1:33" x14ac:dyDescent="0.35">
      <c r="A11" s="3"/>
      <c r="B11" s="3"/>
      <c r="C11" s="3"/>
      <c r="D11" s="101"/>
      <c r="E11" s="102"/>
      <c r="F11" s="102"/>
      <c r="G11" s="103"/>
      <c r="H11" s="103"/>
      <c r="I11" s="103"/>
      <c r="J11" s="103"/>
      <c r="K11" s="107" t="s">
        <v>21</v>
      </c>
      <c r="L11" s="107"/>
      <c r="M11" s="16">
        <v>0.73</v>
      </c>
      <c r="N11" s="16" t="s">
        <v>41</v>
      </c>
      <c r="O11" s="16" t="s">
        <v>42</v>
      </c>
      <c r="P11" s="16" t="s">
        <v>43</v>
      </c>
      <c r="Q11" s="16">
        <v>0.78</v>
      </c>
      <c r="R11" s="16" t="s">
        <v>30</v>
      </c>
      <c r="S11" s="16" t="s">
        <v>44</v>
      </c>
      <c r="T11" s="16" t="s">
        <v>45</v>
      </c>
      <c r="U11" s="3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</row>
    <row r="12" spans="1:33" x14ac:dyDescent="0.35">
      <c r="A12" s="3"/>
      <c r="B12" s="3"/>
      <c r="C12" s="3"/>
      <c r="D12" s="101"/>
      <c r="E12" s="102"/>
      <c r="F12" s="102"/>
      <c r="G12" s="103"/>
      <c r="H12" s="103"/>
      <c r="I12" s="103"/>
      <c r="J12" s="103"/>
      <c r="K12" s="104" t="s">
        <v>11</v>
      </c>
      <c r="L12" s="104"/>
      <c r="M12" s="15">
        <v>0.84</v>
      </c>
      <c r="N12" s="15" t="s">
        <v>30</v>
      </c>
      <c r="O12" s="15" t="s">
        <v>39</v>
      </c>
      <c r="P12" s="15" t="s">
        <v>43</v>
      </c>
      <c r="Q12" s="15" t="s">
        <v>35</v>
      </c>
      <c r="R12" s="15" t="s">
        <v>29</v>
      </c>
      <c r="S12" s="15" t="s">
        <v>30</v>
      </c>
      <c r="T12" s="15" t="s">
        <v>41</v>
      </c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1:33" x14ac:dyDescent="0.35">
      <c r="A13" s="3"/>
      <c r="B13" s="3"/>
      <c r="C13" s="3"/>
      <c r="D13" s="101"/>
      <c r="E13" s="102" t="s">
        <v>20</v>
      </c>
      <c r="F13" s="102"/>
      <c r="G13" s="103" t="s">
        <v>24</v>
      </c>
      <c r="H13" s="103"/>
      <c r="I13" s="103"/>
      <c r="J13" s="103"/>
      <c r="K13" s="104" t="s">
        <v>14</v>
      </c>
      <c r="L13" s="104"/>
      <c r="M13" s="15" t="s">
        <v>46</v>
      </c>
      <c r="N13" s="15" t="s">
        <v>47</v>
      </c>
      <c r="O13" s="15" t="s">
        <v>43</v>
      </c>
      <c r="P13" s="15" t="s">
        <v>42</v>
      </c>
      <c r="Q13" s="15" t="s">
        <v>48</v>
      </c>
      <c r="R13" s="15" t="s">
        <v>49</v>
      </c>
      <c r="S13" s="15" t="s">
        <v>50</v>
      </c>
      <c r="T13" s="17" t="s">
        <v>40</v>
      </c>
      <c r="U13" s="3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</row>
    <row r="14" spans="1:33" x14ac:dyDescent="0.35">
      <c r="A14" s="3"/>
      <c r="B14" s="3"/>
      <c r="C14" s="3"/>
      <c r="D14" s="101"/>
      <c r="E14" s="102"/>
      <c r="F14" s="102"/>
      <c r="G14" s="103"/>
      <c r="H14" s="103"/>
      <c r="I14" s="103"/>
      <c r="J14" s="103"/>
      <c r="K14" s="105" t="s">
        <v>13</v>
      </c>
      <c r="L14" s="106"/>
      <c r="M14" s="16" t="s">
        <v>50</v>
      </c>
      <c r="N14" s="16" t="s">
        <v>30</v>
      </c>
      <c r="O14" s="16" t="s">
        <v>51</v>
      </c>
      <c r="P14" s="16">
        <v>0.82</v>
      </c>
      <c r="Q14" s="16">
        <v>0.91</v>
      </c>
      <c r="R14" s="16" t="s">
        <v>52</v>
      </c>
      <c r="S14" s="16" t="s">
        <v>53</v>
      </c>
      <c r="T14" s="16" t="s">
        <v>54</v>
      </c>
      <c r="U14" s="3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1:33" x14ac:dyDescent="0.35">
      <c r="A15" s="3"/>
      <c r="B15" s="3"/>
      <c r="C15" s="3"/>
      <c r="D15" s="101"/>
      <c r="E15" s="102"/>
      <c r="F15" s="102"/>
      <c r="G15" s="103"/>
      <c r="H15" s="103"/>
      <c r="I15" s="103"/>
      <c r="J15" s="103"/>
      <c r="K15" s="104" t="s">
        <v>12</v>
      </c>
      <c r="L15" s="104"/>
      <c r="M15" s="18" t="s">
        <v>55</v>
      </c>
      <c r="N15" s="18" t="s">
        <v>30</v>
      </c>
      <c r="O15" s="18" t="s">
        <v>56</v>
      </c>
      <c r="P15" s="18" t="s">
        <v>43</v>
      </c>
      <c r="Q15" s="18" t="s">
        <v>57</v>
      </c>
      <c r="R15" s="18" t="s">
        <v>58</v>
      </c>
      <c r="S15" s="18" t="s">
        <v>55</v>
      </c>
      <c r="T15" s="18" t="s">
        <v>31</v>
      </c>
      <c r="U15" s="3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</row>
    <row r="16" spans="1:33" x14ac:dyDescent="0.35">
      <c r="A16" s="3"/>
      <c r="B16" s="3"/>
      <c r="C16" s="3"/>
      <c r="D16" s="101"/>
      <c r="E16" s="102"/>
      <c r="F16" s="102"/>
      <c r="G16" s="103"/>
      <c r="H16" s="103"/>
      <c r="I16" s="103"/>
      <c r="J16" s="103"/>
      <c r="K16" s="107" t="s">
        <v>21</v>
      </c>
      <c r="L16" s="107"/>
      <c r="M16" s="16" t="s">
        <v>59</v>
      </c>
      <c r="N16" s="16" t="s">
        <v>31</v>
      </c>
      <c r="O16" s="16" t="s">
        <v>40</v>
      </c>
      <c r="P16" s="16" t="s">
        <v>60</v>
      </c>
      <c r="Q16" s="16" t="s">
        <v>42</v>
      </c>
      <c r="R16" s="16" t="s">
        <v>61</v>
      </c>
      <c r="S16" s="16" t="s">
        <v>62</v>
      </c>
      <c r="T16" s="16" t="s">
        <v>63</v>
      </c>
      <c r="U16" s="3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</row>
    <row r="17" spans="1:33" x14ac:dyDescent="0.35">
      <c r="A17" s="3"/>
      <c r="B17" s="3"/>
      <c r="C17" s="3"/>
      <c r="D17" s="101"/>
      <c r="E17" s="102"/>
      <c r="F17" s="102"/>
      <c r="G17" s="103"/>
      <c r="H17" s="103"/>
      <c r="I17" s="103"/>
      <c r="J17" s="103"/>
      <c r="K17" s="104" t="s">
        <v>11</v>
      </c>
      <c r="L17" s="104"/>
      <c r="M17" s="15" t="s">
        <v>58</v>
      </c>
      <c r="N17" s="17" t="s">
        <v>64</v>
      </c>
      <c r="O17" s="15" t="s">
        <v>48</v>
      </c>
      <c r="P17" s="15">
        <v>0.89</v>
      </c>
      <c r="Q17" s="15">
        <v>0.9</v>
      </c>
      <c r="R17" s="15" t="s">
        <v>65</v>
      </c>
      <c r="S17" s="15" t="s">
        <v>50</v>
      </c>
      <c r="T17" s="15" t="s">
        <v>40</v>
      </c>
      <c r="U17" s="3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</row>
    <row r="18" spans="1:33" x14ac:dyDescent="0.35">
      <c r="A18" s="3"/>
      <c r="B18" s="3"/>
      <c r="C18" s="3"/>
      <c r="D18" s="101"/>
      <c r="E18" s="102" t="s">
        <v>22</v>
      </c>
      <c r="F18" s="102"/>
      <c r="G18" s="103" t="s">
        <v>25</v>
      </c>
      <c r="H18" s="103"/>
      <c r="I18" s="103"/>
      <c r="J18" s="103"/>
      <c r="K18" s="104" t="s">
        <v>14</v>
      </c>
      <c r="L18" s="104"/>
      <c r="M18" s="18" t="s">
        <v>69</v>
      </c>
      <c r="N18" s="18" t="s">
        <v>70</v>
      </c>
      <c r="O18" s="18" t="s">
        <v>69</v>
      </c>
      <c r="P18" s="18" t="s">
        <v>47</v>
      </c>
      <c r="Q18" s="18" t="s">
        <v>71</v>
      </c>
      <c r="R18" s="18" t="s">
        <v>34</v>
      </c>
      <c r="S18" s="18" t="s">
        <v>48</v>
      </c>
      <c r="T18" s="18" t="s">
        <v>41</v>
      </c>
      <c r="U18" s="3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</row>
    <row r="19" spans="1:33" x14ac:dyDescent="0.35">
      <c r="A19" s="3"/>
      <c r="B19" s="3"/>
      <c r="C19" s="3"/>
      <c r="D19" s="101"/>
      <c r="E19" s="102"/>
      <c r="F19" s="102"/>
      <c r="G19" s="103"/>
      <c r="H19" s="103"/>
      <c r="I19" s="103"/>
      <c r="J19" s="103"/>
      <c r="K19" s="105" t="s">
        <v>13</v>
      </c>
      <c r="L19" s="106"/>
      <c r="M19" s="16" t="s">
        <v>46</v>
      </c>
      <c r="N19" s="29" t="s">
        <v>37</v>
      </c>
      <c r="O19" s="16" t="s">
        <v>39</v>
      </c>
      <c r="P19" s="16" t="s">
        <v>34</v>
      </c>
      <c r="Q19" s="16" t="s">
        <v>43</v>
      </c>
      <c r="R19" s="16" t="s">
        <v>43</v>
      </c>
      <c r="S19" s="16" t="s">
        <v>64</v>
      </c>
      <c r="T19" s="29" t="s">
        <v>60</v>
      </c>
      <c r="U19" s="3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1:33" x14ac:dyDescent="0.35">
      <c r="A20" s="3"/>
      <c r="B20" s="3"/>
      <c r="C20" s="3"/>
      <c r="D20" s="101"/>
      <c r="E20" s="102"/>
      <c r="F20" s="102"/>
      <c r="G20" s="103"/>
      <c r="H20" s="103"/>
      <c r="I20" s="103"/>
      <c r="J20" s="103"/>
      <c r="K20" s="104" t="s">
        <v>12</v>
      </c>
      <c r="L20" s="104"/>
      <c r="M20" s="15" t="s">
        <v>50</v>
      </c>
      <c r="N20" s="15" t="s">
        <v>30</v>
      </c>
      <c r="O20" s="15" t="s">
        <v>72</v>
      </c>
      <c r="P20" s="15" t="s">
        <v>43</v>
      </c>
      <c r="Q20" s="15" t="s">
        <v>34</v>
      </c>
      <c r="R20" s="15" t="s">
        <v>35</v>
      </c>
      <c r="S20" s="15" t="s">
        <v>64</v>
      </c>
      <c r="T20" s="15" t="s">
        <v>31</v>
      </c>
      <c r="U20" s="3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</row>
    <row r="21" spans="1:33" x14ac:dyDescent="0.35">
      <c r="A21" s="3"/>
      <c r="B21" s="3"/>
      <c r="C21" s="3"/>
      <c r="D21" s="101"/>
      <c r="E21" s="102"/>
      <c r="F21" s="102"/>
      <c r="G21" s="103"/>
      <c r="H21" s="103"/>
      <c r="I21" s="103"/>
      <c r="J21" s="103"/>
      <c r="K21" s="107" t="s">
        <v>21</v>
      </c>
      <c r="L21" s="107"/>
      <c r="M21" s="16" t="s">
        <v>73</v>
      </c>
      <c r="N21" s="16" t="s">
        <v>74</v>
      </c>
      <c r="O21" s="16" t="s">
        <v>54</v>
      </c>
      <c r="P21" s="16" t="s">
        <v>75</v>
      </c>
      <c r="Q21" s="16" t="s">
        <v>64</v>
      </c>
      <c r="R21" s="16" t="s">
        <v>35</v>
      </c>
      <c r="S21" s="16" t="s">
        <v>74</v>
      </c>
      <c r="T21" s="16" t="s">
        <v>45</v>
      </c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spans="1:33" x14ac:dyDescent="0.35">
      <c r="A22" s="3"/>
      <c r="B22" s="3"/>
      <c r="C22" s="3"/>
      <c r="D22" s="101"/>
      <c r="E22" s="102"/>
      <c r="F22" s="102"/>
      <c r="G22" s="103"/>
      <c r="H22" s="103"/>
      <c r="I22" s="103"/>
      <c r="J22" s="103"/>
      <c r="K22" s="104" t="s">
        <v>11</v>
      </c>
      <c r="L22" s="104"/>
      <c r="M22" s="15" t="s">
        <v>27</v>
      </c>
      <c r="N22" s="15" t="s">
        <v>30</v>
      </c>
      <c r="O22" s="15" t="s">
        <v>72</v>
      </c>
      <c r="P22" s="15" t="s">
        <v>43</v>
      </c>
      <c r="Q22" s="15" t="s">
        <v>35</v>
      </c>
      <c r="R22" s="15" t="s">
        <v>29</v>
      </c>
      <c r="S22" s="15" t="s">
        <v>30</v>
      </c>
      <c r="T22" s="15" t="s">
        <v>41</v>
      </c>
      <c r="U22" s="3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</row>
    <row r="23" spans="1:33" x14ac:dyDescent="0.35">
      <c r="A23" s="3"/>
      <c r="B23" s="3"/>
      <c r="C23" s="3"/>
      <c r="D23" s="101"/>
      <c r="E23" s="102" t="s">
        <v>23</v>
      </c>
      <c r="F23" s="102"/>
      <c r="G23" s="103" t="s">
        <v>26</v>
      </c>
      <c r="H23" s="103"/>
      <c r="I23" s="103"/>
      <c r="J23" s="103"/>
      <c r="K23" s="104" t="s">
        <v>14</v>
      </c>
      <c r="L23" s="104"/>
      <c r="M23" s="18">
        <v>0.99</v>
      </c>
      <c r="N23" s="18">
        <v>0.78</v>
      </c>
      <c r="O23" s="18">
        <v>0.99</v>
      </c>
      <c r="P23" s="18">
        <v>0.82</v>
      </c>
      <c r="Q23" s="18">
        <v>0.99</v>
      </c>
      <c r="R23" s="18">
        <v>0.87</v>
      </c>
      <c r="S23" s="18">
        <v>0.98</v>
      </c>
      <c r="T23" s="18">
        <v>0.78</v>
      </c>
      <c r="U23" s="3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</row>
    <row r="24" spans="1:33" x14ac:dyDescent="0.35">
      <c r="A24" s="3"/>
      <c r="B24" s="3"/>
      <c r="C24" s="3"/>
      <c r="D24" s="101"/>
      <c r="E24" s="102"/>
      <c r="F24" s="102"/>
      <c r="G24" s="103"/>
      <c r="H24" s="103"/>
      <c r="I24" s="103"/>
      <c r="J24" s="103"/>
      <c r="K24" s="105" t="s">
        <v>13</v>
      </c>
      <c r="L24" s="106"/>
      <c r="M24" s="16">
        <v>0.84</v>
      </c>
      <c r="N24" s="16">
        <v>0.81</v>
      </c>
      <c r="O24" s="16">
        <v>0.88</v>
      </c>
      <c r="P24" s="16">
        <v>0.83</v>
      </c>
      <c r="Q24" s="16">
        <v>0.89</v>
      </c>
      <c r="R24" s="16">
        <v>0.9</v>
      </c>
      <c r="S24" s="16">
        <v>0.82</v>
      </c>
      <c r="T24" s="19">
        <v>0.78</v>
      </c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</row>
    <row r="25" spans="1:33" x14ac:dyDescent="0.35">
      <c r="A25" s="3"/>
      <c r="B25" s="3"/>
      <c r="C25" s="3"/>
      <c r="D25" s="101"/>
      <c r="E25" s="102"/>
      <c r="F25" s="102"/>
      <c r="G25" s="103"/>
      <c r="H25" s="103"/>
      <c r="I25" s="103"/>
      <c r="J25" s="103"/>
      <c r="K25" s="104" t="s">
        <v>12</v>
      </c>
      <c r="L25" s="104"/>
      <c r="M25" s="15">
        <v>0.87</v>
      </c>
      <c r="N25" s="17">
        <v>0.8</v>
      </c>
      <c r="O25" s="15">
        <v>0.93</v>
      </c>
      <c r="P25" s="15">
        <v>0.89</v>
      </c>
      <c r="Q25" s="15">
        <v>0.88</v>
      </c>
      <c r="R25" s="15">
        <v>0.84</v>
      </c>
      <c r="S25" s="15">
        <v>0.84</v>
      </c>
      <c r="T25" s="15">
        <v>0.74</v>
      </c>
      <c r="U25" s="3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</row>
    <row r="26" spans="1:33" x14ac:dyDescent="0.35">
      <c r="A26" s="3"/>
      <c r="B26" s="3"/>
      <c r="C26" s="3"/>
      <c r="D26" s="101"/>
      <c r="E26" s="102"/>
      <c r="F26" s="102"/>
      <c r="G26" s="103"/>
      <c r="H26" s="103"/>
      <c r="I26" s="103"/>
      <c r="J26" s="103"/>
      <c r="K26" s="107" t="s">
        <v>21</v>
      </c>
      <c r="L26" s="107"/>
      <c r="M26" s="16">
        <v>0.69</v>
      </c>
      <c r="N26" s="16">
        <v>0.74</v>
      </c>
      <c r="O26" s="16">
        <v>0.67</v>
      </c>
      <c r="P26" s="16">
        <v>0.8</v>
      </c>
      <c r="Q26" s="16">
        <v>0.85</v>
      </c>
      <c r="R26" s="16">
        <v>0.83</v>
      </c>
      <c r="S26" s="16">
        <v>0.67</v>
      </c>
      <c r="T26" s="16">
        <v>0.69</v>
      </c>
      <c r="U26" s="3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</row>
    <row r="27" spans="1:33" x14ac:dyDescent="0.35">
      <c r="A27" s="3"/>
      <c r="B27" s="3"/>
      <c r="C27" s="3"/>
      <c r="D27" s="101"/>
      <c r="E27" s="102"/>
      <c r="F27" s="102"/>
      <c r="G27" s="103"/>
      <c r="H27" s="103"/>
      <c r="I27" s="103"/>
      <c r="J27" s="103"/>
      <c r="K27" s="104" t="s">
        <v>11</v>
      </c>
      <c r="L27" s="104"/>
      <c r="M27" s="15">
        <v>0.89</v>
      </c>
      <c r="N27" s="15">
        <v>0.79</v>
      </c>
      <c r="O27" s="15">
        <v>0.93</v>
      </c>
      <c r="P27" s="15">
        <v>0.87</v>
      </c>
      <c r="Q27" s="15">
        <v>0.9</v>
      </c>
      <c r="R27" s="15">
        <v>0.84</v>
      </c>
      <c r="S27" s="15">
        <v>0.87</v>
      </c>
      <c r="T27" s="15">
        <v>0.73</v>
      </c>
      <c r="U27" s="3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</row>
    <row r="28" spans="1:33" x14ac:dyDescent="0.35">
      <c r="A28" s="3"/>
      <c r="B28" s="3"/>
      <c r="C28" s="3"/>
      <c r="D28" s="100" t="s">
        <v>66</v>
      </c>
      <c r="E28" s="102" t="s">
        <v>18</v>
      </c>
      <c r="F28" s="102"/>
      <c r="G28" s="103" t="s">
        <v>91</v>
      </c>
      <c r="H28" s="103"/>
      <c r="I28" s="103"/>
      <c r="J28" s="103"/>
      <c r="K28" s="104" t="s">
        <v>14</v>
      </c>
      <c r="L28" s="104"/>
      <c r="M28" s="23">
        <v>0.83</v>
      </c>
      <c r="N28" s="23">
        <v>0.8</v>
      </c>
      <c r="O28" s="23">
        <v>0.92</v>
      </c>
      <c r="P28" s="23">
        <v>0.9</v>
      </c>
      <c r="Q28" s="23">
        <v>0.84</v>
      </c>
      <c r="R28" s="23">
        <v>0.83</v>
      </c>
      <c r="S28" s="23">
        <v>0.79</v>
      </c>
      <c r="T28" s="23">
        <v>0.74</v>
      </c>
      <c r="U28" s="3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</row>
    <row r="29" spans="1:33" x14ac:dyDescent="0.35">
      <c r="A29" s="3"/>
      <c r="B29" s="3"/>
      <c r="C29" s="3"/>
      <c r="D29" s="101"/>
      <c r="E29" s="102"/>
      <c r="F29" s="102"/>
      <c r="G29" s="103"/>
      <c r="H29" s="103"/>
      <c r="I29" s="103"/>
      <c r="J29" s="103"/>
      <c r="K29" s="105" t="s">
        <v>13</v>
      </c>
      <c r="L29" s="106"/>
      <c r="M29" s="16">
        <v>0.85</v>
      </c>
      <c r="N29" s="16">
        <v>0.8</v>
      </c>
      <c r="O29" s="16">
        <v>0.92</v>
      </c>
      <c r="P29" s="16">
        <v>0.87</v>
      </c>
      <c r="Q29" s="16">
        <v>0.87</v>
      </c>
      <c r="R29" s="16">
        <v>0.85</v>
      </c>
      <c r="S29" s="16">
        <v>0.82</v>
      </c>
      <c r="T29" s="16">
        <v>0.75</v>
      </c>
      <c r="U29" s="3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</row>
    <row r="30" spans="1:33" x14ac:dyDescent="0.35">
      <c r="A30" s="3"/>
      <c r="B30" s="3"/>
      <c r="C30" s="3"/>
      <c r="D30" s="101"/>
      <c r="E30" s="102"/>
      <c r="F30" s="102"/>
      <c r="G30" s="103"/>
      <c r="H30" s="103"/>
      <c r="I30" s="103"/>
      <c r="J30" s="103"/>
      <c r="K30" s="104" t="s">
        <v>12</v>
      </c>
      <c r="L30" s="104"/>
      <c r="M30" s="15">
        <v>0.85</v>
      </c>
      <c r="N30" s="15">
        <v>0.81</v>
      </c>
      <c r="O30" s="15">
        <v>0.91</v>
      </c>
      <c r="P30" s="15">
        <v>0.87</v>
      </c>
      <c r="Q30" s="15">
        <v>0.88</v>
      </c>
      <c r="R30" s="15">
        <v>0.87</v>
      </c>
      <c r="S30" s="15">
        <v>0.83</v>
      </c>
      <c r="T30" s="15">
        <v>0.76</v>
      </c>
      <c r="U30" s="3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</row>
    <row r="31" spans="1:33" x14ac:dyDescent="0.35">
      <c r="A31" s="3"/>
      <c r="B31" s="3"/>
      <c r="C31" s="3"/>
      <c r="D31" s="101"/>
      <c r="E31" s="102"/>
      <c r="F31" s="102"/>
      <c r="G31" s="103"/>
      <c r="H31" s="103"/>
      <c r="I31" s="103"/>
      <c r="J31" s="103"/>
      <c r="K31" s="107" t="s">
        <v>21</v>
      </c>
      <c r="L31" s="107"/>
      <c r="M31" s="16">
        <v>0.73</v>
      </c>
      <c r="N31" s="16">
        <v>0.76</v>
      </c>
      <c r="O31" s="16">
        <v>0.86</v>
      </c>
      <c r="P31" s="16">
        <v>0.88</v>
      </c>
      <c r="Q31" s="16">
        <v>0.77</v>
      </c>
      <c r="R31" s="16">
        <v>0.81</v>
      </c>
      <c r="S31" s="16">
        <v>0.66</v>
      </c>
      <c r="T31" s="16">
        <v>0.68</v>
      </c>
      <c r="U31" s="3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33" x14ac:dyDescent="0.35">
      <c r="A32" s="3"/>
      <c r="B32" s="3"/>
      <c r="C32" s="3"/>
      <c r="D32" s="101"/>
      <c r="E32" s="102"/>
      <c r="F32" s="102"/>
      <c r="G32" s="103"/>
      <c r="H32" s="103"/>
      <c r="I32" s="103"/>
      <c r="J32" s="103"/>
      <c r="K32" s="104" t="s">
        <v>11</v>
      </c>
      <c r="L32" s="104"/>
      <c r="M32" s="15">
        <v>0.84</v>
      </c>
      <c r="N32" s="17">
        <v>0.81</v>
      </c>
      <c r="O32" s="15">
        <v>0.91</v>
      </c>
      <c r="P32" s="15">
        <v>0.89</v>
      </c>
      <c r="Q32" s="15">
        <v>0.87</v>
      </c>
      <c r="R32" s="15">
        <v>0.86</v>
      </c>
      <c r="S32" s="15">
        <v>0.81</v>
      </c>
      <c r="T32" s="15">
        <v>0.76</v>
      </c>
      <c r="U32" s="3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</row>
    <row r="33" spans="1:33" x14ac:dyDescent="0.35">
      <c r="A33" s="3"/>
      <c r="B33" s="3"/>
      <c r="C33" s="3"/>
      <c r="D33" s="101"/>
      <c r="E33" s="102" t="s">
        <v>20</v>
      </c>
      <c r="F33" s="102"/>
      <c r="G33" s="103" t="s">
        <v>92</v>
      </c>
      <c r="H33" s="103"/>
      <c r="I33" s="103"/>
      <c r="J33" s="103"/>
      <c r="K33" s="104" t="s">
        <v>14</v>
      </c>
      <c r="L33" s="104"/>
      <c r="M33" s="15">
        <v>0.84</v>
      </c>
      <c r="N33" s="15">
        <v>0.81</v>
      </c>
      <c r="O33" s="15">
        <v>0.96</v>
      </c>
      <c r="P33" s="15">
        <v>0.93</v>
      </c>
      <c r="Q33" s="15">
        <v>0.83</v>
      </c>
      <c r="R33" s="15">
        <v>0.83</v>
      </c>
      <c r="S33" s="15">
        <v>0.79</v>
      </c>
      <c r="T33" s="15">
        <v>0.74</v>
      </c>
      <c r="U33" s="3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</row>
    <row r="34" spans="1:33" x14ac:dyDescent="0.35">
      <c r="A34" s="3"/>
      <c r="B34" s="3"/>
      <c r="C34" s="3"/>
      <c r="D34" s="101"/>
      <c r="E34" s="102"/>
      <c r="F34" s="102"/>
      <c r="G34" s="103"/>
      <c r="H34" s="103"/>
      <c r="I34" s="103"/>
      <c r="J34" s="103"/>
      <c r="K34" s="105" t="s">
        <v>13</v>
      </c>
      <c r="L34" s="106"/>
      <c r="M34" s="16">
        <v>0.85</v>
      </c>
      <c r="N34" s="19">
        <v>0.83</v>
      </c>
      <c r="O34" s="16">
        <v>0.9</v>
      </c>
      <c r="P34" s="16">
        <v>0.88</v>
      </c>
      <c r="Q34" s="16">
        <v>0.88</v>
      </c>
      <c r="R34" s="16">
        <v>0.88</v>
      </c>
      <c r="S34" s="16">
        <v>0.82</v>
      </c>
      <c r="T34" s="19">
        <v>0.79</v>
      </c>
      <c r="U34" s="3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</row>
    <row r="35" spans="1:33" x14ac:dyDescent="0.35">
      <c r="A35" s="3"/>
      <c r="B35" s="3"/>
      <c r="C35" s="3"/>
      <c r="D35" s="101"/>
      <c r="E35" s="102"/>
      <c r="F35" s="102"/>
      <c r="G35" s="103"/>
      <c r="H35" s="103"/>
      <c r="I35" s="103"/>
      <c r="J35" s="103"/>
      <c r="K35" s="104" t="s">
        <v>12</v>
      </c>
      <c r="L35" s="104"/>
      <c r="M35" s="15">
        <v>0.88</v>
      </c>
      <c r="N35" s="15">
        <v>0.83</v>
      </c>
      <c r="O35" s="15">
        <v>0.93</v>
      </c>
      <c r="P35" s="15">
        <v>0.88</v>
      </c>
      <c r="Q35" s="15">
        <v>0.9</v>
      </c>
      <c r="R35" s="15">
        <v>0.89</v>
      </c>
      <c r="S35" s="15">
        <v>0.86</v>
      </c>
      <c r="T35" s="15">
        <v>0.79</v>
      </c>
      <c r="U35" s="3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</row>
    <row r="36" spans="1:33" x14ac:dyDescent="0.35">
      <c r="A36" s="3"/>
      <c r="B36" s="3"/>
      <c r="C36" s="3"/>
      <c r="D36" s="101"/>
      <c r="E36" s="102"/>
      <c r="F36" s="102"/>
      <c r="G36" s="103"/>
      <c r="H36" s="103"/>
      <c r="I36" s="103"/>
      <c r="J36" s="103"/>
      <c r="K36" s="107" t="s">
        <v>21</v>
      </c>
      <c r="L36" s="107"/>
      <c r="M36" s="16">
        <v>0.78</v>
      </c>
      <c r="N36" s="16">
        <v>0.79</v>
      </c>
      <c r="O36" s="16">
        <v>0.78</v>
      </c>
      <c r="P36" s="16">
        <v>0.78</v>
      </c>
      <c r="Q36" s="16">
        <v>0.89</v>
      </c>
      <c r="R36" s="16">
        <v>0.91</v>
      </c>
      <c r="S36" s="16">
        <v>0.77</v>
      </c>
      <c r="T36" s="16">
        <v>0.76</v>
      </c>
      <c r="U36" s="3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</row>
    <row r="37" spans="1:33" x14ac:dyDescent="0.35">
      <c r="A37" s="3"/>
      <c r="B37" s="3"/>
      <c r="C37" s="3"/>
      <c r="D37" s="101"/>
      <c r="E37" s="102"/>
      <c r="F37" s="102"/>
      <c r="G37" s="103"/>
      <c r="H37" s="103"/>
      <c r="I37" s="103"/>
      <c r="J37" s="103"/>
      <c r="K37" s="104" t="s">
        <v>11</v>
      </c>
      <c r="L37" s="104"/>
      <c r="M37" s="15">
        <v>0.86</v>
      </c>
      <c r="N37" s="15">
        <v>0.83</v>
      </c>
      <c r="O37" s="15">
        <v>0.91</v>
      </c>
      <c r="P37" s="15">
        <v>0.88</v>
      </c>
      <c r="Q37" s="15">
        <v>0.89</v>
      </c>
      <c r="R37" s="15">
        <v>0.89</v>
      </c>
      <c r="S37" s="15">
        <v>0.84</v>
      </c>
      <c r="T37" s="17">
        <v>0.79</v>
      </c>
      <c r="U37" s="3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</row>
    <row r="38" spans="1:33" x14ac:dyDescent="0.35">
      <c r="A38" s="3"/>
      <c r="B38" s="3"/>
      <c r="C38" s="3"/>
      <c r="D38" s="101"/>
      <c r="E38" s="102" t="s">
        <v>22</v>
      </c>
      <c r="F38" s="102"/>
      <c r="G38" s="103" t="s">
        <v>93</v>
      </c>
      <c r="H38" s="103"/>
      <c r="I38" s="103"/>
      <c r="J38" s="103"/>
      <c r="K38" s="104" t="s">
        <v>14</v>
      </c>
      <c r="L38" s="104"/>
      <c r="M38" s="15"/>
      <c r="N38" s="15"/>
      <c r="O38" s="15"/>
      <c r="P38" s="15"/>
      <c r="Q38" s="15"/>
      <c r="R38" s="15"/>
      <c r="S38" s="15"/>
      <c r="T38" s="15"/>
      <c r="U38" s="3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</row>
    <row r="39" spans="1:33" x14ac:dyDescent="0.35">
      <c r="A39" s="3"/>
      <c r="B39" s="3"/>
      <c r="C39" s="3"/>
      <c r="D39" s="101"/>
      <c r="E39" s="102"/>
      <c r="F39" s="102"/>
      <c r="G39" s="103"/>
      <c r="H39" s="103"/>
      <c r="I39" s="103"/>
      <c r="J39" s="103"/>
      <c r="K39" s="105" t="s">
        <v>13</v>
      </c>
      <c r="L39" s="106"/>
      <c r="M39" s="16">
        <v>0.83</v>
      </c>
      <c r="N39" s="16">
        <v>0.79</v>
      </c>
      <c r="O39" s="16">
        <v>0.86</v>
      </c>
      <c r="P39" s="16">
        <v>0.82</v>
      </c>
      <c r="Q39" s="16">
        <v>0.89</v>
      </c>
      <c r="R39" s="16">
        <v>0.88</v>
      </c>
      <c r="S39" s="16">
        <v>0.81</v>
      </c>
      <c r="T39" s="16">
        <v>0.75</v>
      </c>
      <c r="U39" s="3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</row>
    <row r="40" spans="1:33" x14ac:dyDescent="0.35">
      <c r="A40" s="3"/>
      <c r="B40" s="3"/>
      <c r="C40" s="3"/>
      <c r="D40" s="101"/>
      <c r="E40" s="102"/>
      <c r="F40" s="102"/>
      <c r="G40" s="103"/>
      <c r="H40" s="103"/>
      <c r="I40" s="103"/>
      <c r="J40" s="103"/>
      <c r="K40" s="104" t="s">
        <v>12</v>
      </c>
      <c r="L40" s="104"/>
      <c r="M40" s="15">
        <v>0.84</v>
      </c>
      <c r="N40" s="15">
        <v>0.8</v>
      </c>
      <c r="O40" s="15">
        <v>0.9</v>
      </c>
      <c r="P40" s="15">
        <v>0.86</v>
      </c>
      <c r="Q40" s="15">
        <v>0.87</v>
      </c>
      <c r="R40" s="15">
        <v>0.86</v>
      </c>
      <c r="S40" s="15">
        <v>0.81</v>
      </c>
      <c r="T40" s="15">
        <v>0.75</v>
      </c>
      <c r="U40" s="3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</row>
    <row r="41" spans="1:33" x14ac:dyDescent="0.35">
      <c r="A41" s="3"/>
      <c r="B41" s="3"/>
      <c r="C41" s="3"/>
      <c r="D41" s="101"/>
      <c r="E41" s="102"/>
      <c r="F41" s="102"/>
      <c r="G41" s="103"/>
      <c r="H41" s="103"/>
      <c r="I41" s="103"/>
      <c r="J41" s="103"/>
      <c r="K41" s="107" t="s">
        <v>21</v>
      </c>
      <c r="L41" s="107"/>
      <c r="M41" s="16">
        <v>0.67</v>
      </c>
      <c r="N41" s="16">
        <v>0.65</v>
      </c>
      <c r="O41" s="16">
        <v>0.66</v>
      </c>
      <c r="P41" s="16">
        <v>0.64</v>
      </c>
      <c r="Q41" s="16">
        <v>0.83</v>
      </c>
      <c r="R41" s="16">
        <v>0.84</v>
      </c>
      <c r="S41" s="16">
        <v>0.65</v>
      </c>
      <c r="T41" s="16">
        <v>0.63</v>
      </c>
      <c r="U41" s="3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</row>
    <row r="42" spans="1:33" x14ac:dyDescent="0.35">
      <c r="A42" s="3"/>
      <c r="B42" s="3"/>
      <c r="C42" s="3"/>
      <c r="D42" s="101"/>
      <c r="E42" s="102"/>
      <c r="F42" s="102"/>
      <c r="G42" s="103"/>
      <c r="H42" s="103"/>
      <c r="I42" s="103"/>
      <c r="J42" s="103"/>
      <c r="K42" s="104" t="s">
        <v>11</v>
      </c>
      <c r="L42" s="104"/>
      <c r="M42" s="15">
        <v>0.85</v>
      </c>
      <c r="N42" s="15">
        <v>0.8</v>
      </c>
      <c r="O42" s="15">
        <v>0.9</v>
      </c>
      <c r="P42" s="15">
        <v>0.87</v>
      </c>
      <c r="Q42" s="15">
        <v>0.88</v>
      </c>
      <c r="R42" s="15">
        <v>0.86</v>
      </c>
      <c r="S42" s="15">
        <v>0.82</v>
      </c>
      <c r="T42" s="15">
        <v>0.75</v>
      </c>
      <c r="U42" s="3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</row>
    <row r="43" spans="1:33" x14ac:dyDescent="0.35">
      <c r="A43" s="3"/>
      <c r="B43" s="3"/>
      <c r="C43" s="3"/>
      <c r="D43" s="101"/>
      <c r="E43" s="102" t="s">
        <v>23</v>
      </c>
      <c r="F43" s="102"/>
      <c r="G43" s="103" t="s">
        <v>94</v>
      </c>
      <c r="H43" s="103"/>
      <c r="I43" s="103"/>
      <c r="J43" s="103"/>
      <c r="K43" s="104" t="s">
        <v>14</v>
      </c>
      <c r="L43" s="104"/>
      <c r="M43" s="16">
        <v>0.83</v>
      </c>
      <c r="N43" s="16">
        <v>0.75</v>
      </c>
      <c r="O43" s="16">
        <v>0.88</v>
      </c>
      <c r="P43" s="16">
        <v>0.83</v>
      </c>
      <c r="Q43" s="16">
        <v>0.87</v>
      </c>
      <c r="R43" s="16">
        <v>0.82</v>
      </c>
      <c r="S43" s="16">
        <v>0.8</v>
      </c>
      <c r="T43" s="16">
        <v>0.75</v>
      </c>
      <c r="U43" s="3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</row>
    <row r="44" spans="1:33" x14ac:dyDescent="0.35">
      <c r="A44" s="3"/>
      <c r="B44" s="3"/>
      <c r="C44" s="3"/>
      <c r="D44" s="101"/>
      <c r="E44" s="102"/>
      <c r="F44" s="102"/>
      <c r="G44" s="103"/>
      <c r="H44" s="103"/>
      <c r="I44" s="103"/>
      <c r="J44" s="103"/>
      <c r="K44" s="105" t="s">
        <v>13</v>
      </c>
      <c r="L44" s="106"/>
      <c r="M44" s="18">
        <v>0.75</v>
      </c>
      <c r="N44" s="18">
        <v>0.74</v>
      </c>
      <c r="O44" s="18" t="s">
        <v>56</v>
      </c>
      <c r="P44" s="18" t="s">
        <v>86</v>
      </c>
      <c r="Q44" s="18">
        <v>0.73</v>
      </c>
      <c r="R44" s="18" t="s">
        <v>63</v>
      </c>
      <c r="S44" s="18" t="s">
        <v>87</v>
      </c>
      <c r="T44" s="18" t="s">
        <v>82</v>
      </c>
      <c r="U44" s="3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</row>
    <row r="45" spans="1:33" x14ac:dyDescent="0.35">
      <c r="A45" s="3"/>
      <c r="B45" s="3"/>
      <c r="C45" s="3"/>
      <c r="D45" s="101"/>
      <c r="E45" s="102"/>
      <c r="F45" s="102"/>
      <c r="G45" s="103"/>
      <c r="H45" s="103"/>
      <c r="I45" s="103"/>
      <c r="J45" s="103"/>
      <c r="K45" s="104" t="s">
        <v>12</v>
      </c>
      <c r="L45" s="104"/>
      <c r="M45" s="31" t="s">
        <v>88</v>
      </c>
      <c r="N45" s="31" t="s">
        <v>89</v>
      </c>
      <c r="O45" s="31">
        <v>0.49</v>
      </c>
      <c r="P45" s="31" t="s">
        <v>90</v>
      </c>
      <c r="Q45" s="31" t="s">
        <v>56</v>
      </c>
      <c r="R45" s="31" t="s">
        <v>43</v>
      </c>
      <c r="S45" s="31" t="s">
        <v>88</v>
      </c>
      <c r="T45" s="31" t="s">
        <v>89</v>
      </c>
      <c r="U45" s="3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</row>
    <row r="46" spans="1:33" x14ac:dyDescent="0.35">
      <c r="A46" s="3"/>
      <c r="B46" s="3"/>
      <c r="C46" s="3"/>
      <c r="D46" s="101"/>
      <c r="E46" s="102"/>
      <c r="F46" s="102"/>
      <c r="G46" s="103"/>
      <c r="H46" s="103"/>
      <c r="I46" s="103"/>
      <c r="J46" s="103"/>
      <c r="K46" s="107" t="s">
        <v>21</v>
      </c>
      <c r="L46" s="107"/>
      <c r="M46" s="32">
        <v>0.85</v>
      </c>
      <c r="N46" s="32" t="s">
        <v>31</v>
      </c>
      <c r="O46" s="32">
        <v>0.92</v>
      </c>
      <c r="P46" s="32" t="s">
        <v>42</v>
      </c>
      <c r="Q46" s="32" t="s">
        <v>29</v>
      </c>
      <c r="R46" s="32" t="s">
        <v>64</v>
      </c>
      <c r="S46" s="32" t="s">
        <v>30</v>
      </c>
      <c r="T46" s="32" t="s">
        <v>75</v>
      </c>
      <c r="U46" s="3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</row>
    <row r="47" spans="1:33" x14ac:dyDescent="0.35">
      <c r="A47" s="3"/>
      <c r="B47" s="3"/>
      <c r="C47" s="3"/>
      <c r="D47" s="101"/>
      <c r="E47" s="102"/>
      <c r="F47" s="102"/>
      <c r="G47" s="103"/>
      <c r="H47" s="103"/>
      <c r="I47" s="103"/>
      <c r="J47" s="103"/>
      <c r="K47" s="104" t="s">
        <v>11</v>
      </c>
      <c r="L47" s="104"/>
      <c r="M47" s="15">
        <v>0.86</v>
      </c>
      <c r="N47" s="15">
        <v>0.83</v>
      </c>
      <c r="O47" s="15">
        <v>0.91</v>
      </c>
      <c r="P47" s="15">
        <v>0.88</v>
      </c>
      <c r="Q47" s="15">
        <v>0.89</v>
      </c>
      <c r="R47" s="15">
        <v>0.89</v>
      </c>
      <c r="S47" s="15">
        <v>0.84</v>
      </c>
      <c r="T47" s="15">
        <v>0.79</v>
      </c>
      <c r="U47" s="3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</row>
    <row r="48" spans="1:33" x14ac:dyDescent="0.35">
      <c r="A48" s="3"/>
      <c r="B48" s="3"/>
      <c r="C48" s="3"/>
      <c r="D48" s="100" t="s">
        <v>67</v>
      </c>
      <c r="E48" s="102" t="s">
        <v>18</v>
      </c>
      <c r="F48" s="102"/>
      <c r="G48" s="103" t="s">
        <v>95</v>
      </c>
      <c r="H48" s="103"/>
      <c r="I48" s="103"/>
      <c r="J48" s="103"/>
      <c r="K48" s="104" t="s">
        <v>14</v>
      </c>
      <c r="L48" s="104"/>
      <c r="M48" s="33"/>
      <c r="N48" s="33"/>
      <c r="O48" s="33"/>
      <c r="P48" s="33"/>
      <c r="Q48" s="33"/>
      <c r="R48" s="33"/>
      <c r="S48" s="33"/>
      <c r="T48" s="33"/>
      <c r="U48" s="3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</row>
    <row r="49" spans="1:33" x14ac:dyDescent="0.35">
      <c r="A49" s="3"/>
      <c r="B49" s="3"/>
      <c r="C49" s="3"/>
      <c r="D49" s="101"/>
      <c r="E49" s="102"/>
      <c r="F49" s="102"/>
      <c r="G49" s="103"/>
      <c r="H49" s="103"/>
      <c r="I49" s="103"/>
      <c r="J49" s="103"/>
      <c r="K49" s="105" t="s">
        <v>13</v>
      </c>
      <c r="L49" s="106"/>
      <c r="M49" s="21"/>
      <c r="N49" s="21"/>
      <c r="O49" s="21"/>
      <c r="P49" s="21"/>
      <c r="Q49" s="21"/>
      <c r="R49" s="21"/>
      <c r="S49" s="21"/>
      <c r="T49" s="21"/>
      <c r="U49" s="3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</row>
    <row r="50" spans="1:33" x14ac:dyDescent="0.35">
      <c r="A50" s="3"/>
      <c r="B50" s="3"/>
      <c r="C50" s="3"/>
      <c r="D50" s="101"/>
      <c r="E50" s="102"/>
      <c r="F50" s="102"/>
      <c r="G50" s="103"/>
      <c r="H50" s="103"/>
      <c r="I50" s="103"/>
      <c r="J50" s="103"/>
      <c r="K50" s="104" t="s">
        <v>12</v>
      </c>
      <c r="L50" s="104"/>
      <c r="M50" s="20"/>
      <c r="N50" s="22"/>
      <c r="O50" s="20"/>
      <c r="P50" s="20"/>
      <c r="Q50" s="20"/>
      <c r="R50" s="20"/>
      <c r="S50" s="20"/>
      <c r="T50" s="22"/>
      <c r="U50" s="3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</row>
    <row r="51" spans="1:33" x14ac:dyDescent="0.35">
      <c r="A51" s="3"/>
      <c r="B51" s="3"/>
      <c r="C51" s="3"/>
      <c r="D51" s="101"/>
      <c r="E51" s="102"/>
      <c r="F51" s="102"/>
      <c r="G51" s="103"/>
      <c r="H51" s="103"/>
      <c r="I51" s="103"/>
      <c r="J51" s="103"/>
      <c r="K51" s="107" t="s">
        <v>21</v>
      </c>
      <c r="L51" s="107"/>
      <c r="M51" s="21"/>
      <c r="N51" s="21"/>
      <c r="O51" s="21"/>
      <c r="P51" s="21"/>
      <c r="Q51" s="21"/>
      <c r="R51" s="21"/>
      <c r="S51" s="21"/>
      <c r="T51" s="21"/>
      <c r="U51" s="3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</row>
    <row r="52" spans="1:33" x14ac:dyDescent="0.35">
      <c r="A52" s="3"/>
      <c r="B52" s="3"/>
      <c r="C52" s="3"/>
      <c r="D52" s="101"/>
      <c r="E52" s="102"/>
      <c r="F52" s="102"/>
      <c r="G52" s="103"/>
      <c r="H52" s="103"/>
      <c r="I52" s="103"/>
      <c r="J52" s="103"/>
      <c r="K52" s="104" t="s">
        <v>11</v>
      </c>
      <c r="L52" s="104"/>
      <c r="M52" s="20"/>
      <c r="N52" s="20"/>
      <c r="O52" s="20"/>
      <c r="P52" s="20"/>
      <c r="Q52" s="20"/>
      <c r="R52" s="20"/>
      <c r="S52" s="20"/>
      <c r="T52" s="20"/>
      <c r="U52" s="3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</row>
    <row r="53" spans="1:33" x14ac:dyDescent="0.35">
      <c r="A53" s="3"/>
      <c r="B53" s="3"/>
      <c r="C53" s="3"/>
      <c r="D53" s="101"/>
      <c r="E53" s="102" t="s">
        <v>20</v>
      </c>
      <c r="F53" s="102"/>
      <c r="G53" s="103" t="s">
        <v>96</v>
      </c>
      <c r="H53" s="103"/>
      <c r="I53" s="103"/>
      <c r="J53" s="103"/>
      <c r="K53" s="104" t="s">
        <v>14</v>
      </c>
      <c r="L53" s="104"/>
      <c r="M53" s="24">
        <v>0.73</v>
      </c>
      <c r="N53" s="24">
        <v>0.75</v>
      </c>
      <c r="O53" s="24">
        <v>0.95</v>
      </c>
      <c r="P53" s="24">
        <v>0.94</v>
      </c>
      <c r="Q53" s="24">
        <v>0.73</v>
      </c>
      <c r="R53" s="24">
        <v>0.77</v>
      </c>
      <c r="S53" s="24">
        <v>0.6</v>
      </c>
      <c r="T53" s="24">
        <v>0.6</v>
      </c>
      <c r="U53" s="3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</row>
    <row r="54" spans="1:33" x14ac:dyDescent="0.35">
      <c r="A54" s="3"/>
      <c r="B54" s="3"/>
      <c r="C54" s="3"/>
      <c r="D54" s="101"/>
      <c r="E54" s="102"/>
      <c r="F54" s="102"/>
      <c r="G54" s="103"/>
      <c r="H54" s="103"/>
      <c r="I54" s="103"/>
      <c r="J54" s="103"/>
      <c r="K54" s="105" t="s">
        <v>13</v>
      </c>
      <c r="L54" s="106"/>
      <c r="M54" s="25">
        <v>0.76</v>
      </c>
      <c r="N54" s="26">
        <v>0.74</v>
      </c>
      <c r="O54" s="25">
        <v>0.9</v>
      </c>
      <c r="P54" s="25">
        <v>0.89</v>
      </c>
      <c r="Q54" s="25">
        <v>0.78</v>
      </c>
      <c r="R54" s="25">
        <v>0.78</v>
      </c>
      <c r="S54" s="25">
        <v>0.69</v>
      </c>
      <c r="T54" s="26">
        <v>0.63</v>
      </c>
      <c r="U54" s="3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</row>
    <row r="55" spans="1:33" x14ac:dyDescent="0.35">
      <c r="A55" s="3"/>
      <c r="B55" s="3"/>
      <c r="C55" s="3"/>
      <c r="D55" s="101"/>
      <c r="E55" s="102"/>
      <c r="F55" s="102"/>
      <c r="G55" s="103"/>
      <c r="H55" s="103"/>
      <c r="I55" s="103"/>
      <c r="J55" s="103"/>
      <c r="K55" s="104" t="s">
        <v>12</v>
      </c>
      <c r="L55" s="104"/>
      <c r="M55" s="24">
        <v>0.82</v>
      </c>
      <c r="N55" s="24">
        <v>0.74</v>
      </c>
      <c r="O55" s="24">
        <v>0.95</v>
      </c>
      <c r="P55" s="24">
        <v>0.88</v>
      </c>
      <c r="Q55" s="24">
        <v>0.82</v>
      </c>
      <c r="R55" s="24">
        <v>0.78</v>
      </c>
      <c r="S55" s="24">
        <v>0.77</v>
      </c>
      <c r="T55" s="24">
        <v>0.64</v>
      </c>
      <c r="U55" s="3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</row>
    <row r="56" spans="1:33" x14ac:dyDescent="0.35">
      <c r="A56" s="3"/>
      <c r="B56" s="3"/>
      <c r="C56" s="3"/>
      <c r="D56" s="101"/>
      <c r="E56" s="102"/>
      <c r="F56" s="102"/>
      <c r="G56" s="103"/>
      <c r="H56" s="103"/>
      <c r="I56" s="103"/>
      <c r="J56" s="103"/>
      <c r="K56" s="107" t="s">
        <v>21</v>
      </c>
      <c r="L56" s="107"/>
      <c r="M56" s="16">
        <v>0.64</v>
      </c>
      <c r="N56" s="16">
        <v>0.65</v>
      </c>
      <c r="O56" s="16">
        <v>0.67</v>
      </c>
      <c r="P56" s="16">
        <v>0.69</v>
      </c>
      <c r="Q56" s="16">
        <v>0.78</v>
      </c>
      <c r="R56" s="16">
        <v>0.8</v>
      </c>
      <c r="S56" s="16">
        <v>0.61</v>
      </c>
      <c r="T56" s="16">
        <v>0.61</v>
      </c>
      <c r="U56" s="3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</row>
    <row r="57" spans="1:33" x14ac:dyDescent="0.35">
      <c r="A57" s="3"/>
      <c r="B57" s="3"/>
      <c r="C57" s="3"/>
      <c r="D57" s="101"/>
      <c r="E57" s="102"/>
      <c r="F57" s="102"/>
      <c r="G57" s="103"/>
      <c r="H57" s="103"/>
      <c r="I57" s="103"/>
      <c r="J57" s="103"/>
      <c r="K57" s="104" t="s">
        <v>11</v>
      </c>
      <c r="L57" s="104"/>
      <c r="M57" s="15">
        <v>0.78</v>
      </c>
      <c r="N57" s="17">
        <v>0.73</v>
      </c>
      <c r="O57" s="15">
        <v>0.94</v>
      </c>
      <c r="P57" s="15">
        <v>0.88</v>
      </c>
      <c r="Q57" s="15">
        <v>0.78</v>
      </c>
      <c r="R57" s="15">
        <v>0.78</v>
      </c>
      <c r="S57" s="15">
        <v>0.71</v>
      </c>
      <c r="T57" s="17">
        <v>0.63</v>
      </c>
      <c r="U57" s="3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</row>
    <row r="58" spans="1:33" x14ac:dyDescent="0.35">
      <c r="A58" s="3"/>
      <c r="B58" s="3"/>
      <c r="C58" s="3"/>
      <c r="D58" s="101"/>
      <c r="E58" s="102" t="s">
        <v>22</v>
      </c>
      <c r="F58" s="102"/>
      <c r="G58" s="103" t="s">
        <v>97</v>
      </c>
      <c r="H58" s="103"/>
      <c r="I58" s="103"/>
      <c r="J58" s="103"/>
      <c r="K58" s="104" t="s">
        <v>14</v>
      </c>
      <c r="L58" s="104"/>
      <c r="M58" s="23">
        <v>0.73</v>
      </c>
      <c r="N58" s="23">
        <v>0.75</v>
      </c>
      <c r="O58" s="23">
        <v>0.95</v>
      </c>
      <c r="P58" s="23">
        <v>0.94</v>
      </c>
      <c r="Q58" s="23">
        <v>0.73</v>
      </c>
      <c r="R58" s="23">
        <v>0.77</v>
      </c>
      <c r="S58" s="23">
        <v>0.6</v>
      </c>
      <c r="T58" s="23">
        <v>0.6</v>
      </c>
      <c r="U58" s="3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</row>
    <row r="59" spans="1:33" x14ac:dyDescent="0.35">
      <c r="A59" s="3"/>
      <c r="B59" s="3"/>
      <c r="C59" s="3"/>
      <c r="D59" s="101"/>
      <c r="E59" s="102"/>
      <c r="F59" s="102"/>
      <c r="G59" s="103"/>
      <c r="H59" s="103"/>
      <c r="I59" s="103"/>
      <c r="J59" s="103"/>
      <c r="K59" s="105" t="s">
        <v>13</v>
      </c>
      <c r="L59" s="106"/>
      <c r="M59" s="16">
        <v>0.75</v>
      </c>
      <c r="N59" s="16">
        <v>0.73</v>
      </c>
      <c r="O59" s="16">
        <v>0.9</v>
      </c>
      <c r="P59" s="16">
        <v>0.88</v>
      </c>
      <c r="Q59" s="16">
        <v>0.77</v>
      </c>
      <c r="R59" s="16">
        <v>0.78</v>
      </c>
      <c r="S59" s="16">
        <v>0.68</v>
      </c>
      <c r="T59" s="16">
        <v>0.62</v>
      </c>
      <c r="U59" s="3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</row>
    <row r="60" spans="1:33" x14ac:dyDescent="0.35">
      <c r="A60" s="3"/>
      <c r="B60" s="3"/>
      <c r="C60" s="3"/>
      <c r="D60" s="101"/>
      <c r="E60" s="102"/>
      <c r="F60" s="102"/>
      <c r="G60" s="103"/>
      <c r="H60" s="103"/>
      <c r="I60" s="103"/>
      <c r="J60" s="103"/>
      <c r="K60" s="104" t="s">
        <v>12</v>
      </c>
      <c r="L60" s="104"/>
      <c r="M60" s="15">
        <v>0.82</v>
      </c>
      <c r="N60" s="15">
        <v>0.74</v>
      </c>
      <c r="O60" s="15">
        <v>0.95</v>
      </c>
      <c r="P60" s="15">
        <v>0.88</v>
      </c>
      <c r="Q60" s="15">
        <v>0.82</v>
      </c>
      <c r="R60" s="15">
        <v>0.78</v>
      </c>
      <c r="S60" s="15">
        <v>0.77</v>
      </c>
      <c r="T60" s="15">
        <v>0.64</v>
      </c>
      <c r="U60" s="3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</row>
    <row r="61" spans="1:33" x14ac:dyDescent="0.35">
      <c r="A61" s="3"/>
      <c r="B61" s="3"/>
      <c r="C61" s="3"/>
      <c r="D61" s="101"/>
      <c r="E61" s="102"/>
      <c r="F61" s="102"/>
      <c r="G61" s="103"/>
      <c r="H61" s="103"/>
      <c r="I61" s="103"/>
      <c r="J61" s="103"/>
      <c r="K61" s="107" t="s">
        <v>21</v>
      </c>
      <c r="L61" s="107"/>
      <c r="M61" s="16">
        <v>0.64</v>
      </c>
      <c r="N61" s="16">
        <v>0.65</v>
      </c>
      <c r="O61" s="16">
        <v>0.67</v>
      </c>
      <c r="P61" s="16">
        <v>0.69</v>
      </c>
      <c r="Q61" s="16">
        <v>0.78</v>
      </c>
      <c r="R61" s="16">
        <v>0.8</v>
      </c>
      <c r="S61" s="16">
        <v>0.61</v>
      </c>
      <c r="T61" s="16">
        <v>0.61</v>
      </c>
      <c r="U61" s="3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</row>
    <row r="62" spans="1:33" x14ac:dyDescent="0.35">
      <c r="A62" s="3"/>
      <c r="B62" s="3"/>
      <c r="C62" s="3"/>
      <c r="D62" s="101"/>
      <c r="E62" s="102"/>
      <c r="F62" s="102"/>
      <c r="G62" s="103"/>
      <c r="H62" s="103"/>
      <c r="I62" s="103"/>
      <c r="J62" s="103"/>
      <c r="K62" s="104" t="s">
        <v>11</v>
      </c>
      <c r="L62" s="104"/>
      <c r="M62" s="15">
        <v>0.78</v>
      </c>
      <c r="N62" s="15">
        <v>0.73</v>
      </c>
      <c r="O62" s="15">
        <v>0.94</v>
      </c>
      <c r="P62" s="15">
        <v>0.88</v>
      </c>
      <c r="Q62" s="15">
        <v>0.78</v>
      </c>
      <c r="R62" s="15">
        <v>0.78</v>
      </c>
      <c r="S62" s="15">
        <v>0.78</v>
      </c>
      <c r="T62" s="15">
        <v>0.73</v>
      </c>
      <c r="U62" s="3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</row>
    <row r="63" spans="1:33" x14ac:dyDescent="0.35">
      <c r="A63" s="3"/>
      <c r="B63" s="3"/>
      <c r="C63" s="3"/>
      <c r="D63" s="101"/>
      <c r="E63" s="102" t="s">
        <v>23</v>
      </c>
      <c r="F63" s="102"/>
      <c r="G63" s="103" t="s">
        <v>98</v>
      </c>
      <c r="H63" s="103"/>
      <c r="I63" s="103"/>
      <c r="J63" s="103"/>
      <c r="K63" s="104" t="s">
        <v>14</v>
      </c>
      <c r="L63" s="104"/>
      <c r="M63" s="15" t="s">
        <v>76</v>
      </c>
      <c r="N63" s="15" t="s">
        <v>77</v>
      </c>
      <c r="O63" s="15">
        <v>0.96</v>
      </c>
      <c r="P63" s="15" t="s">
        <v>72</v>
      </c>
      <c r="Q63" s="15" t="s">
        <v>31</v>
      </c>
      <c r="R63" s="15" t="s">
        <v>31</v>
      </c>
      <c r="S63" s="15" t="s">
        <v>54</v>
      </c>
      <c r="T63" s="15" t="s">
        <v>77</v>
      </c>
      <c r="U63" s="3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</row>
    <row r="64" spans="1:33" x14ac:dyDescent="0.35">
      <c r="A64" s="3"/>
      <c r="B64" s="3"/>
      <c r="C64" s="3"/>
      <c r="D64" s="101"/>
      <c r="E64" s="102"/>
      <c r="F64" s="102"/>
      <c r="G64" s="103"/>
      <c r="H64" s="103"/>
      <c r="I64" s="103"/>
      <c r="J64" s="103"/>
      <c r="K64" s="105" t="s">
        <v>13</v>
      </c>
      <c r="L64" s="106"/>
      <c r="M64" s="16" t="s">
        <v>53</v>
      </c>
      <c r="N64" s="16" t="s">
        <v>63</v>
      </c>
      <c r="O64" s="16" t="s">
        <v>48</v>
      </c>
      <c r="P64" s="16" t="s">
        <v>35</v>
      </c>
      <c r="Q64" s="16">
        <v>0.85</v>
      </c>
      <c r="R64" s="16" t="s">
        <v>40</v>
      </c>
      <c r="S64" s="16" t="s">
        <v>60</v>
      </c>
      <c r="T64" s="19" t="s">
        <v>63</v>
      </c>
      <c r="U64" s="3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</row>
    <row r="65" spans="1:33" x14ac:dyDescent="0.35">
      <c r="A65" s="3"/>
      <c r="B65" s="3"/>
      <c r="C65" s="3"/>
      <c r="D65" s="101"/>
      <c r="E65" s="102"/>
      <c r="F65" s="102"/>
      <c r="G65" s="103"/>
      <c r="H65" s="103"/>
      <c r="I65" s="103"/>
      <c r="J65" s="103"/>
      <c r="K65" s="104" t="s">
        <v>12</v>
      </c>
      <c r="L65" s="104"/>
      <c r="M65" s="15" t="s">
        <v>76</v>
      </c>
      <c r="N65" s="17" t="s">
        <v>41</v>
      </c>
      <c r="O65" s="15" t="s">
        <v>55</v>
      </c>
      <c r="P65" s="15" t="s">
        <v>71</v>
      </c>
      <c r="Q65" s="15">
        <v>0.76</v>
      </c>
      <c r="R65" s="15" t="s">
        <v>41</v>
      </c>
      <c r="S65" s="15" t="s">
        <v>45</v>
      </c>
      <c r="T65" s="15" t="s">
        <v>78</v>
      </c>
      <c r="U65" s="3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</row>
    <row r="66" spans="1:33" x14ac:dyDescent="0.35">
      <c r="A66" s="3"/>
      <c r="B66" s="3"/>
      <c r="C66" s="3"/>
      <c r="D66" s="101"/>
      <c r="E66" s="102"/>
      <c r="F66" s="102"/>
      <c r="G66" s="103"/>
      <c r="H66" s="103"/>
      <c r="I66" s="103"/>
      <c r="J66" s="103"/>
      <c r="K66" s="107" t="s">
        <v>21</v>
      </c>
      <c r="L66" s="107"/>
      <c r="M66" s="16" t="s">
        <v>79</v>
      </c>
      <c r="N66" s="16" t="s">
        <v>80</v>
      </c>
      <c r="O66" s="16" t="s">
        <v>81</v>
      </c>
      <c r="P66" s="16" t="s">
        <v>82</v>
      </c>
      <c r="Q66" s="16" t="s">
        <v>83</v>
      </c>
      <c r="R66" s="16" t="s">
        <v>39</v>
      </c>
      <c r="S66" s="16" t="s">
        <v>44</v>
      </c>
      <c r="T66" s="16" t="s">
        <v>84</v>
      </c>
      <c r="U66" s="3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  <row r="67" spans="1:33" x14ac:dyDescent="0.35">
      <c r="A67" s="3"/>
      <c r="B67" s="3"/>
      <c r="C67" s="3"/>
      <c r="D67" s="101"/>
      <c r="E67" s="102"/>
      <c r="F67" s="102"/>
      <c r="G67" s="103"/>
      <c r="H67" s="103"/>
      <c r="I67" s="103"/>
      <c r="J67" s="103"/>
      <c r="K67" s="104" t="s">
        <v>11</v>
      </c>
      <c r="L67" s="104"/>
      <c r="M67" s="15" t="s">
        <v>59</v>
      </c>
      <c r="N67" s="15" t="s">
        <v>77</v>
      </c>
      <c r="O67" s="15">
        <v>0.92</v>
      </c>
      <c r="P67" s="15" t="s">
        <v>43</v>
      </c>
      <c r="Q67" s="15" t="s">
        <v>31</v>
      </c>
      <c r="R67" s="15" t="s">
        <v>31</v>
      </c>
      <c r="S67" s="15" t="s">
        <v>45</v>
      </c>
      <c r="T67" s="15" t="s">
        <v>84</v>
      </c>
      <c r="U67" s="3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</row>
    <row r="68" spans="1:33" x14ac:dyDescent="0.35">
      <c r="A68" s="3"/>
      <c r="B68" s="3"/>
      <c r="C68" s="3"/>
      <c r="D68" s="100" t="s">
        <v>68</v>
      </c>
      <c r="E68" s="102" t="s">
        <v>18</v>
      </c>
      <c r="F68" s="102"/>
      <c r="G68" s="103" t="s">
        <v>99</v>
      </c>
      <c r="H68" s="103"/>
      <c r="I68" s="103"/>
      <c r="J68" s="103"/>
      <c r="K68" s="104" t="s">
        <v>14</v>
      </c>
      <c r="L68" s="104"/>
      <c r="M68" s="28">
        <v>0.83</v>
      </c>
      <c r="N68" s="28">
        <v>0.82</v>
      </c>
      <c r="O68" s="28">
        <v>0.89</v>
      </c>
      <c r="P68" s="28">
        <v>0.87</v>
      </c>
      <c r="Q68" s="28">
        <v>0.87</v>
      </c>
      <c r="R68" s="28">
        <v>0.87</v>
      </c>
      <c r="S68" s="28">
        <v>0.8</v>
      </c>
      <c r="T68" s="28">
        <v>0.87</v>
      </c>
      <c r="U68" s="3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</row>
    <row r="69" spans="1:33" x14ac:dyDescent="0.35">
      <c r="A69" s="3"/>
      <c r="B69" s="3"/>
      <c r="C69" s="3"/>
      <c r="D69" s="101"/>
      <c r="E69" s="102"/>
      <c r="F69" s="102"/>
      <c r="G69" s="103"/>
      <c r="H69" s="103"/>
      <c r="I69" s="103"/>
      <c r="J69" s="103"/>
      <c r="K69" s="105" t="s">
        <v>13</v>
      </c>
      <c r="L69" s="106"/>
      <c r="M69" s="25">
        <v>0.83</v>
      </c>
      <c r="N69" s="25">
        <v>0.79</v>
      </c>
      <c r="O69" s="25">
        <v>0.9</v>
      </c>
      <c r="P69" s="25">
        <v>0.88</v>
      </c>
      <c r="Q69" s="25">
        <v>0.85</v>
      </c>
      <c r="R69" s="25">
        <v>0.84</v>
      </c>
      <c r="S69" s="25">
        <v>0.79</v>
      </c>
      <c r="T69" s="25">
        <v>0.72</v>
      </c>
      <c r="U69" s="3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</row>
    <row r="70" spans="1:33" x14ac:dyDescent="0.35">
      <c r="A70" s="3"/>
      <c r="B70" s="3"/>
      <c r="C70" s="3"/>
      <c r="D70" s="101"/>
      <c r="E70" s="102"/>
      <c r="F70" s="102"/>
      <c r="G70" s="103"/>
      <c r="H70" s="103"/>
      <c r="I70" s="103"/>
      <c r="J70" s="103"/>
      <c r="K70" s="104" t="s">
        <v>12</v>
      </c>
      <c r="L70" s="104"/>
      <c r="M70" s="24">
        <v>0.84</v>
      </c>
      <c r="N70" s="24">
        <v>0.82</v>
      </c>
      <c r="O70" s="24">
        <v>0.91</v>
      </c>
      <c r="P70" s="24">
        <v>0.88</v>
      </c>
      <c r="Q70" s="24">
        <v>0.87</v>
      </c>
      <c r="R70" s="24">
        <v>0.87</v>
      </c>
      <c r="S70" s="24">
        <v>0.81</v>
      </c>
      <c r="T70" s="24">
        <v>0.77</v>
      </c>
      <c r="U70" s="3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</row>
    <row r="71" spans="1:33" x14ac:dyDescent="0.35">
      <c r="A71" s="3"/>
      <c r="B71" s="3"/>
      <c r="C71" s="3"/>
      <c r="D71" s="101"/>
      <c r="E71" s="102"/>
      <c r="F71" s="102"/>
      <c r="G71" s="103"/>
      <c r="H71" s="103"/>
      <c r="I71" s="103"/>
      <c r="J71" s="103"/>
      <c r="K71" s="107" t="s">
        <v>21</v>
      </c>
      <c r="L71" s="107"/>
      <c r="M71" s="25">
        <v>0.74</v>
      </c>
      <c r="N71" s="25">
        <v>0.75</v>
      </c>
      <c r="O71" s="25">
        <v>0.85</v>
      </c>
      <c r="P71" s="25">
        <v>0.85</v>
      </c>
      <c r="Q71" s="25">
        <v>0.78</v>
      </c>
      <c r="R71" s="25">
        <v>0.81</v>
      </c>
      <c r="S71" s="25">
        <v>0.68</v>
      </c>
      <c r="T71" s="25">
        <v>0.68</v>
      </c>
      <c r="U71" s="3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</row>
    <row r="72" spans="1:33" x14ac:dyDescent="0.35">
      <c r="A72" s="3"/>
      <c r="B72" s="3"/>
      <c r="C72" s="3"/>
      <c r="D72" s="101"/>
      <c r="E72" s="102"/>
      <c r="F72" s="102"/>
      <c r="G72" s="103"/>
      <c r="H72" s="103"/>
      <c r="I72" s="103"/>
      <c r="J72" s="103"/>
      <c r="K72" s="104" t="s">
        <v>11</v>
      </c>
      <c r="L72" s="104"/>
      <c r="M72" s="24">
        <v>0.83</v>
      </c>
      <c r="N72" s="27">
        <v>0.83</v>
      </c>
      <c r="O72" s="24">
        <v>0.9</v>
      </c>
      <c r="P72" s="24">
        <v>0.89</v>
      </c>
      <c r="Q72" s="24">
        <v>0.85</v>
      </c>
      <c r="R72" s="24">
        <v>0.87</v>
      </c>
      <c r="S72" s="24">
        <v>0.8</v>
      </c>
      <c r="T72" s="24">
        <v>0.78</v>
      </c>
      <c r="U72" s="3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</row>
    <row r="73" spans="1:33" x14ac:dyDescent="0.35">
      <c r="A73" s="3"/>
      <c r="B73" s="3"/>
      <c r="C73" s="3"/>
      <c r="D73" s="101"/>
      <c r="E73" s="102" t="s">
        <v>20</v>
      </c>
      <c r="F73" s="102"/>
      <c r="G73" s="103" t="s">
        <v>100</v>
      </c>
      <c r="H73" s="103"/>
      <c r="I73" s="103"/>
      <c r="J73" s="103"/>
      <c r="K73" s="104" t="s">
        <v>14</v>
      </c>
      <c r="L73" s="104"/>
      <c r="M73" s="23">
        <v>0.87</v>
      </c>
      <c r="N73" s="23">
        <v>0.82</v>
      </c>
      <c r="O73" s="23">
        <v>0.91</v>
      </c>
      <c r="P73" s="23">
        <v>0.88</v>
      </c>
      <c r="Q73" s="23">
        <v>0.9</v>
      </c>
      <c r="R73" s="23">
        <v>0.88</v>
      </c>
      <c r="S73" s="23">
        <v>0.85</v>
      </c>
      <c r="T73" s="23">
        <v>0.88</v>
      </c>
      <c r="U73" s="3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</row>
    <row r="74" spans="1:33" x14ac:dyDescent="0.35">
      <c r="A74" s="3"/>
      <c r="B74" s="3"/>
      <c r="C74" s="3"/>
      <c r="D74" s="101"/>
      <c r="E74" s="102"/>
      <c r="F74" s="102"/>
      <c r="G74" s="103"/>
      <c r="H74" s="103"/>
      <c r="I74" s="103"/>
      <c r="J74" s="103"/>
      <c r="K74" s="105" t="s">
        <v>13</v>
      </c>
      <c r="L74" s="106"/>
      <c r="M74" s="16">
        <v>0.85</v>
      </c>
      <c r="N74" s="16">
        <v>0.81</v>
      </c>
      <c r="O74" s="16">
        <v>0.89</v>
      </c>
      <c r="P74" s="16">
        <v>0.86</v>
      </c>
      <c r="Q74" s="16">
        <v>0.89</v>
      </c>
      <c r="R74" s="16">
        <v>0.88</v>
      </c>
      <c r="S74" s="16">
        <v>0.83</v>
      </c>
      <c r="T74" s="16">
        <v>0.77</v>
      </c>
      <c r="U74" s="3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</row>
    <row r="75" spans="1:33" x14ac:dyDescent="0.35">
      <c r="A75" s="3"/>
      <c r="B75" s="3"/>
      <c r="C75" s="3"/>
      <c r="D75" s="101"/>
      <c r="E75" s="102"/>
      <c r="F75" s="102"/>
      <c r="G75" s="103"/>
      <c r="H75" s="103"/>
      <c r="I75" s="103"/>
      <c r="J75" s="103"/>
      <c r="K75" s="104" t="s">
        <v>12</v>
      </c>
      <c r="L75" s="104"/>
      <c r="M75" s="15">
        <v>0.89</v>
      </c>
      <c r="N75" s="15">
        <v>0.82</v>
      </c>
      <c r="O75" s="15">
        <v>0.92</v>
      </c>
      <c r="P75" s="15">
        <v>0.88</v>
      </c>
      <c r="Q75" s="15">
        <v>0.91</v>
      </c>
      <c r="R75" s="15">
        <v>0.87</v>
      </c>
      <c r="S75" s="15">
        <v>0.87</v>
      </c>
      <c r="T75" s="15">
        <v>0.78</v>
      </c>
      <c r="U75" s="3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</row>
    <row r="76" spans="1:33" x14ac:dyDescent="0.35">
      <c r="A76" s="3"/>
      <c r="B76" s="3"/>
      <c r="C76" s="3"/>
      <c r="D76" s="101"/>
      <c r="E76" s="102"/>
      <c r="F76" s="102"/>
      <c r="G76" s="103"/>
      <c r="H76" s="103"/>
      <c r="I76" s="103"/>
      <c r="J76" s="103"/>
      <c r="K76" s="107" t="s">
        <v>21</v>
      </c>
      <c r="L76" s="107"/>
      <c r="M76" s="16">
        <v>0.76</v>
      </c>
      <c r="N76" s="16">
        <v>0.77</v>
      </c>
      <c r="O76" s="16">
        <v>0.79</v>
      </c>
      <c r="P76" s="16">
        <v>0.8</v>
      </c>
      <c r="Q76" s="16">
        <v>0.85</v>
      </c>
      <c r="R76" s="16">
        <v>0.88</v>
      </c>
      <c r="S76" s="16">
        <v>0.73</v>
      </c>
      <c r="T76" s="16">
        <v>0.74</v>
      </c>
      <c r="U76" s="3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</row>
    <row r="77" spans="1:33" x14ac:dyDescent="0.35">
      <c r="A77" s="3"/>
      <c r="B77" s="3"/>
      <c r="C77" s="3"/>
      <c r="D77" s="101"/>
      <c r="E77" s="102"/>
      <c r="F77" s="102"/>
      <c r="G77" s="103"/>
      <c r="H77" s="103"/>
      <c r="I77" s="103"/>
      <c r="J77" s="103"/>
      <c r="K77" s="104" t="s">
        <v>11</v>
      </c>
      <c r="L77" s="104"/>
      <c r="M77" s="15">
        <v>0.87</v>
      </c>
      <c r="N77" s="17">
        <v>0.83</v>
      </c>
      <c r="O77" s="15">
        <v>0.92</v>
      </c>
      <c r="P77" s="15">
        <v>0.89</v>
      </c>
      <c r="Q77" s="15">
        <v>0.9</v>
      </c>
      <c r="R77" s="15">
        <v>0.88</v>
      </c>
      <c r="S77" s="15">
        <v>0.85</v>
      </c>
      <c r="T77" s="17">
        <v>0.79</v>
      </c>
      <c r="U77" s="3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</row>
    <row r="78" spans="1:33" x14ac:dyDescent="0.35">
      <c r="A78" s="3"/>
      <c r="B78" s="3"/>
      <c r="C78" s="3"/>
      <c r="D78" s="101"/>
      <c r="E78" s="102" t="s">
        <v>22</v>
      </c>
      <c r="F78" s="102"/>
      <c r="G78" s="103" t="s">
        <v>101</v>
      </c>
      <c r="H78" s="103"/>
      <c r="I78" s="103"/>
      <c r="J78" s="103"/>
      <c r="K78" s="104" t="s">
        <v>14</v>
      </c>
      <c r="L78" s="104"/>
      <c r="M78" s="15">
        <v>0.87</v>
      </c>
      <c r="N78" s="15">
        <v>0.82</v>
      </c>
      <c r="O78" s="15">
        <v>0.91</v>
      </c>
      <c r="P78" s="15">
        <v>0.88</v>
      </c>
      <c r="Q78" s="15">
        <v>0.9</v>
      </c>
      <c r="R78" s="15">
        <v>0.88</v>
      </c>
      <c r="S78" s="15">
        <v>0.85</v>
      </c>
      <c r="T78" s="15">
        <v>0.78</v>
      </c>
      <c r="U78" s="3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</row>
    <row r="79" spans="1:33" x14ac:dyDescent="0.35">
      <c r="A79" s="3"/>
      <c r="B79" s="3"/>
      <c r="C79" s="3"/>
      <c r="D79" s="101"/>
      <c r="E79" s="102"/>
      <c r="F79" s="102"/>
      <c r="G79" s="103"/>
      <c r="H79" s="103"/>
      <c r="I79" s="103"/>
      <c r="J79" s="103"/>
      <c r="K79" s="105" t="s">
        <v>13</v>
      </c>
      <c r="L79" s="106"/>
      <c r="M79" s="16">
        <v>0.85</v>
      </c>
      <c r="N79" s="16">
        <v>0.81</v>
      </c>
      <c r="O79" s="16">
        <v>0.89</v>
      </c>
      <c r="P79" s="16">
        <v>0.86</v>
      </c>
      <c r="Q79" s="16">
        <v>0.89</v>
      </c>
      <c r="R79" s="16">
        <v>0.88</v>
      </c>
      <c r="S79" s="16">
        <v>0.83</v>
      </c>
      <c r="T79" s="16">
        <v>0.77</v>
      </c>
      <c r="U79" s="3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</row>
    <row r="80" spans="1:33" x14ac:dyDescent="0.35">
      <c r="A80" s="3"/>
      <c r="B80" s="3"/>
      <c r="C80" s="3"/>
      <c r="D80" s="101"/>
      <c r="E80" s="102"/>
      <c r="F80" s="102"/>
      <c r="G80" s="103"/>
      <c r="H80" s="103"/>
      <c r="I80" s="103"/>
      <c r="J80" s="103"/>
      <c r="K80" s="104" t="s">
        <v>12</v>
      </c>
      <c r="L80" s="104"/>
      <c r="M80" s="15">
        <v>0.89</v>
      </c>
      <c r="N80" s="15">
        <v>0.82</v>
      </c>
      <c r="O80" s="15">
        <v>0.92</v>
      </c>
      <c r="P80" s="15">
        <v>0.88</v>
      </c>
      <c r="Q80" s="15">
        <v>0.91</v>
      </c>
      <c r="R80" s="15">
        <v>0.87</v>
      </c>
      <c r="S80" s="15">
        <v>0.87</v>
      </c>
      <c r="T80" s="15">
        <v>0.78</v>
      </c>
      <c r="U80" s="3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</row>
    <row r="81" spans="1:33" x14ac:dyDescent="0.35">
      <c r="A81" s="3"/>
      <c r="B81" s="3"/>
      <c r="C81" s="3"/>
      <c r="D81" s="101"/>
      <c r="E81" s="102"/>
      <c r="F81" s="102"/>
      <c r="G81" s="103"/>
      <c r="H81" s="103"/>
      <c r="I81" s="103"/>
      <c r="J81" s="103"/>
      <c r="K81" s="107" t="s">
        <v>21</v>
      </c>
      <c r="L81" s="107"/>
      <c r="M81" s="16">
        <v>0.76</v>
      </c>
      <c r="N81" s="16">
        <v>0.77</v>
      </c>
      <c r="O81" s="16">
        <v>0.79</v>
      </c>
      <c r="P81" s="16">
        <v>0.8</v>
      </c>
      <c r="Q81" s="16">
        <v>0.85</v>
      </c>
      <c r="R81" s="16">
        <v>0.88</v>
      </c>
      <c r="S81" s="16">
        <v>0.73</v>
      </c>
      <c r="T81" s="16">
        <v>0.74</v>
      </c>
      <c r="U81" s="3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</row>
    <row r="82" spans="1:33" x14ac:dyDescent="0.35">
      <c r="A82" s="3"/>
      <c r="B82" s="3"/>
      <c r="C82" s="3"/>
      <c r="D82" s="101"/>
      <c r="E82" s="102"/>
      <c r="F82" s="102"/>
      <c r="G82" s="103"/>
      <c r="H82" s="103"/>
      <c r="I82" s="103"/>
      <c r="J82" s="103"/>
      <c r="K82" s="104" t="s">
        <v>11</v>
      </c>
      <c r="L82" s="104"/>
      <c r="M82" s="15">
        <v>0.87</v>
      </c>
      <c r="N82" s="15">
        <v>0.83</v>
      </c>
      <c r="O82" s="15">
        <v>0.92</v>
      </c>
      <c r="P82" s="15">
        <v>0.89</v>
      </c>
      <c r="Q82" s="15">
        <v>0.9</v>
      </c>
      <c r="R82" s="15">
        <v>0.88</v>
      </c>
      <c r="S82" s="15">
        <v>0.85</v>
      </c>
      <c r="T82" s="17">
        <v>0.79</v>
      </c>
      <c r="U82" s="3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</row>
    <row r="83" spans="1:33" x14ac:dyDescent="0.35">
      <c r="A83" s="3"/>
      <c r="B83" s="3"/>
      <c r="C83" s="3"/>
      <c r="D83" s="101"/>
      <c r="E83" s="102" t="s">
        <v>23</v>
      </c>
      <c r="F83" s="102"/>
      <c r="G83" s="103" t="s">
        <v>102</v>
      </c>
      <c r="H83" s="103"/>
      <c r="I83" s="103"/>
      <c r="J83" s="103"/>
      <c r="K83" s="104" t="s">
        <v>14</v>
      </c>
      <c r="L83" s="104"/>
      <c r="M83" s="30">
        <v>0.96</v>
      </c>
      <c r="N83" s="30">
        <v>0.81</v>
      </c>
      <c r="O83" s="30">
        <v>0.98</v>
      </c>
      <c r="P83" s="30">
        <v>0.88</v>
      </c>
      <c r="Q83" s="30">
        <v>0.97</v>
      </c>
      <c r="R83" s="30">
        <v>0.86</v>
      </c>
      <c r="S83" s="30">
        <v>0.96</v>
      </c>
      <c r="T83" s="30">
        <v>0.76</v>
      </c>
      <c r="U83" s="3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</row>
    <row r="84" spans="1:33" x14ac:dyDescent="0.35">
      <c r="A84" s="3"/>
      <c r="B84" s="3"/>
      <c r="C84" s="3"/>
      <c r="D84" s="101"/>
      <c r="E84" s="102"/>
      <c r="F84" s="102"/>
      <c r="G84" s="103"/>
      <c r="H84" s="103"/>
      <c r="I84" s="103"/>
      <c r="J84" s="103"/>
      <c r="K84" s="105" t="s">
        <v>13</v>
      </c>
      <c r="L84" s="106"/>
      <c r="M84" s="25">
        <v>0.85</v>
      </c>
      <c r="N84" s="26">
        <v>0.83</v>
      </c>
      <c r="O84" s="25">
        <v>0.89</v>
      </c>
      <c r="P84" s="25">
        <v>0.86</v>
      </c>
      <c r="Q84" s="25">
        <v>0.9</v>
      </c>
      <c r="R84" s="25">
        <v>0.9</v>
      </c>
      <c r="S84" s="25">
        <v>0.83</v>
      </c>
      <c r="T84" s="26">
        <v>0.8</v>
      </c>
      <c r="U84" s="3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</row>
    <row r="85" spans="1:33" x14ac:dyDescent="0.35">
      <c r="A85" s="3"/>
      <c r="B85" s="3"/>
      <c r="C85" s="3"/>
      <c r="D85" s="101"/>
      <c r="E85" s="102"/>
      <c r="F85" s="102"/>
      <c r="G85" s="103"/>
      <c r="H85" s="103"/>
      <c r="I85" s="103"/>
      <c r="J85" s="103"/>
      <c r="K85" s="104" t="s">
        <v>12</v>
      </c>
      <c r="L85" s="104"/>
      <c r="M85" s="24">
        <v>0.84</v>
      </c>
      <c r="N85" s="24" t="s">
        <v>47</v>
      </c>
      <c r="O85" s="24">
        <v>0.89</v>
      </c>
      <c r="P85" s="24" t="s">
        <v>43</v>
      </c>
      <c r="Q85" s="24">
        <v>0.88</v>
      </c>
      <c r="R85" s="24" t="s">
        <v>35</v>
      </c>
      <c r="S85" s="24" t="s">
        <v>30</v>
      </c>
      <c r="T85" s="24" t="s">
        <v>31</v>
      </c>
      <c r="U85" s="3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</row>
    <row r="86" spans="1:33" x14ac:dyDescent="0.35">
      <c r="A86" s="3"/>
      <c r="B86" s="3"/>
      <c r="C86" s="3"/>
      <c r="D86" s="101"/>
      <c r="E86" s="102"/>
      <c r="F86" s="102"/>
      <c r="G86" s="103"/>
      <c r="H86" s="103"/>
      <c r="I86" s="103"/>
      <c r="J86" s="103"/>
      <c r="K86" s="107" t="s">
        <v>21</v>
      </c>
      <c r="L86" s="107"/>
      <c r="M86" s="25">
        <v>0.71</v>
      </c>
      <c r="N86" s="25" t="s">
        <v>75</v>
      </c>
      <c r="O86" s="25" t="s">
        <v>31</v>
      </c>
      <c r="P86" s="25" t="s">
        <v>85</v>
      </c>
      <c r="Q86" s="25" t="s">
        <v>30</v>
      </c>
      <c r="R86" s="25" t="s">
        <v>29</v>
      </c>
      <c r="S86" s="25" t="s">
        <v>45</v>
      </c>
      <c r="T86" s="25" t="s">
        <v>44</v>
      </c>
      <c r="U86" s="3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</row>
    <row r="87" spans="1:33" x14ac:dyDescent="0.35">
      <c r="C87" s="3"/>
      <c r="D87" s="101"/>
      <c r="E87" s="102"/>
      <c r="F87" s="102"/>
      <c r="G87" s="103"/>
      <c r="H87" s="103"/>
      <c r="I87" s="103"/>
      <c r="J87" s="103"/>
      <c r="K87" s="104" t="s">
        <v>11</v>
      </c>
      <c r="L87" s="104"/>
      <c r="M87" s="24" t="s">
        <v>37</v>
      </c>
      <c r="N87" s="27" t="s">
        <v>64</v>
      </c>
      <c r="O87" s="24" t="s">
        <v>72</v>
      </c>
      <c r="P87" s="24" t="s">
        <v>34</v>
      </c>
      <c r="Q87" s="24" t="s">
        <v>35</v>
      </c>
      <c r="R87" s="24" t="s">
        <v>35</v>
      </c>
      <c r="S87" s="24" t="s">
        <v>30</v>
      </c>
      <c r="T87" s="24" t="s">
        <v>54</v>
      </c>
      <c r="U87" s="3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</row>
    <row r="88" spans="1:33" x14ac:dyDescent="0.35">
      <c r="C88" s="3"/>
      <c r="D88" s="11"/>
      <c r="E88" s="11"/>
      <c r="F88" s="11"/>
      <c r="G88" s="14"/>
      <c r="H88" s="14"/>
      <c r="I88" s="14"/>
      <c r="J88" s="14"/>
      <c r="K88" s="12"/>
      <c r="L88" s="12"/>
      <c r="M88" s="13"/>
      <c r="N88" s="13"/>
      <c r="O88" s="13"/>
      <c r="P88" s="13"/>
      <c r="Q88" s="13"/>
      <c r="R88" s="13"/>
      <c r="S88" s="13"/>
      <c r="T88" s="13"/>
      <c r="U88" s="3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</row>
    <row r="89" spans="1:33" x14ac:dyDescent="0.35">
      <c r="C89" s="3"/>
      <c r="D89" s="11"/>
      <c r="E89" s="11"/>
      <c r="F89" s="11"/>
      <c r="G89" s="14"/>
      <c r="H89" s="14"/>
      <c r="I89" s="14"/>
      <c r="J89" s="14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3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</row>
    <row r="90" spans="1:33" x14ac:dyDescent="0.35">
      <c r="C90" s="3"/>
      <c r="D90" s="11"/>
      <c r="E90" s="11"/>
      <c r="F90" s="11"/>
      <c r="G90" s="11"/>
      <c r="H90" s="11"/>
      <c r="I90" s="11"/>
      <c r="J90" s="11"/>
      <c r="K90" s="12"/>
      <c r="L90" s="12"/>
      <c r="M90" s="13"/>
      <c r="N90" s="13"/>
      <c r="O90" s="13"/>
      <c r="P90" s="13"/>
      <c r="Q90" s="13"/>
      <c r="R90" s="13"/>
      <c r="S90" s="13"/>
      <c r="T90" s="13"/>
      <c r="U90" s="3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</row>
    <row r="91" spans="1:33" x14ac:dyDescent="0.35">
      <c r="C91" s="3"/>
      <c r="D91" s="11"/>
      <c r="E91" s="11"/>
      <c r="F91" s="11"/>
      <c r="G91" s="11"/>
      <c r="H91" s="11"/>
      <c r="I91" s="11"/>
      <c r="J91" s="11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3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</row>
    <row r="92" spans="1:33" x14ac:dyDescent="0.35">
      <c r="C92" s="3"/>
      <c r="D92" s="8"/>
      <c r="E92" s="8"/>
      <c r="F92" s="8"/>
      <c r="G92" s="8"/>
      <c r="H92" s="8"/>
      <c r="I92" s="8"/>
      <c r="J92" s="8"/>
      <c r="K92" s="9"/>
      <c r="L92" s="9"/>
      <c r="M92" s="10"/>
      <c r="N92" s="10"/>
      <c r="O92" s="10"/>
      <c r="P92" s="10"/>
      <c r="Q92" s="10"/>
      <c r="R92" s="10"/>
      <c r="S92" s="10"/>
      <c r="T92" s="10"/>
      <c r="U92" s="3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</row>
    <row r="93" spans="1:33" x14ac:dyDescent="0.35">
      <c r="C93" s="3"/>
      <c r="D93" s="8"/>
      <c r="E93" s="8"/>
      <c r="F93" s="8"/>
      <c r="G93" s="8"/>
      <c r="H93" s="8"/>
      <c r="I93" s="8"/>
      <c r="J93" s="8"/>
      <c r="K93" s="9"/>
      <c r="L93" s="9"/>
      <c r="M93" s="9"/>
      <c r="N93" s="9"/>
      <c r="O93" s="9"/>
      <c r="P93" s="9"/>
      <c r="Q93" s="9"/>
      <c r="R93" s="9"/>
      <c r="S93" s="9"/>
      <c r="T93" s="9"/>
      <c r="U93" s="3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</row>
    <row r="94" spans="1:33" x14ac:dyDescent="0.35">
      <c r="C94" s="3"/>
      <c r="D94" s="8"/>
      <c r="E94" s="8"/>
      <c r="F94" s="8"/>
      <c r="G94" s="8"/>
      <c r="H94" s="8"/>
      <c r="I94" s="8"/>
      <c r="J94" s="8"/>
      <c r="K94" s="9"/>
      <c r="L94" s="9"/>
      <c r="M94" s="10"/>
      <c r="N94" s="10"/>
      <c r="O94" s="10"/>
      <c r="P94" s="10"/>
      <c r="Q94" s="10"/>
      <c r="R94" s="10"/>
      <c r="S94" s="10"/>
      <c r="T94" s="10"/>
      <c r="U94" s="3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</row>
    <row r="95" spans="1:33" x14ac:dyDescent="0.35">
      <c r="C95" s="3"/>
      <c r="D95" s="8"/>
      <c r="E95" s="8"/>
      <c r="F95" s="8"/>
      <c r="G95" s="8"/>
      <c r="H95" s="8"/>
      <c r="I95" s="8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3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</row>
    <row r="96" spans="1:33" x14ac:dyDescent="0.35"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</row>
    <row r="97" spans="3:33" x14ac:dyDescent="0.35"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</row>
    <row r="98" spans="3:33" x14ac:dyDescent="0.35"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</row>
    <row r="99" spans="3:33" x14ac:dyDescent="0.35"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</row>
    <row r="100" spans="3:33" x14ac:dyDescent="0.35"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</row>
    <row r="101" spans="3:33" x14ac:dyDescent="0.35"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</row>
    <row r="102" spans="3:33" x14ac:dyDescent="0.35"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3:33" x14ac:dyDescent="0.35"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3:33" x14ac:dyDescent="0.35"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3:33" x14ac:dyDescent="0.35"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3:33" x14ac:dyDescent="0.35"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3:33" x14ac:dyDescent="0.35"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3:33" x14ac:dyDescent="0.35">
      <c r="C108" s="3"/>
      <c r="D108" s="3"/>
      <c r="E108" s="3"/>
      <c r="F108" s="3"/>
      <c r="G108" s="3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3:33" x14ac:dyDescent="0.35">
      <c r="C109" s="3"/>
      <c r="D109" s="3"/>
      <c r="E109" s="3"/>
      <c r="F109" s="3"/>
      <c r="G109" s="3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3:33" x14ac:dyDescent="0.35"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3:33" x14ac:dyDescent="0.35"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3:33" x14ac:dyDescent="0.35">
      <c r="H112" s="5"/>
      <c r="I112" s="6"/>
      <c r="J112" s="6"/>
      <c r="K112" s="6"/>
      <c r="L112" s="6"/>
      <c r="M112" s="6"/>
      <c r="N112" s="6"/>
      <c r="O112" s="7"/>
      <c r="P112" s="7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8:29" x14ac:dyDescent="0.35">
      <c r="H113" s="5"/>
      <c r="I113" s="6"/>
      <c r="J113" s="6"/>
      <c r="K113" s="6"/>
      <c r="L113" s="6"/>
      <c r="M113" s="6"/>
      <c r="N113" s="6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5"/>
      <c r="Z113" s="5"/>
      <c r="AA113" s="5"/>
      <c r="AB113" s="5"/>
      <c r="AC113" s="5"/>
    </row>
    <row r="114" spans="8:29" x14ac:dyDescent="0.35">
      <c r="H114" s="5"/>
      <c r="I114" s="6"/>
      <c r="J114" s="6"/>
      <c r="K114" s="6"/>
      <c r="L114" s="6"/>
      <c r="M114" s="6"/>
      <c r="N114" s="6"/>
      <c r="O114" s="7"/>
      <c r="P114" s="7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8:29" x14ac:dyDescent="0.35">
      <c r="H115" s="5"/>
      <c r="I115" s="6"/>
      <c r="J115" s="6"/>
      <c r="K115" s="6"/>
      <c r="L115" s="6"/>
      <c r="M115" s="6"/>
      <c r="N115" s="6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5"/>
      <c r="Z115" s="5"/>
      <c r="AA115" s="5"/>
      <c r="AB115" s="5"/>
      <c r="AC115" s="5"/>
    </row>
    <row r="116" spans="8:29" x14ac:dyDescent="0.35">
      <c r="H116" s="5"/>
      <c r="I116" s="6"/>
      <c r="J116" s="6"/>
      <c r="K116" s="6"/>
      <c r="L116" s="6"/>
      <c r="M116" s="6"/>
      <c r="N116" s="6"/>
      <c r="O116" s="7"/>
      <c r="P116" s="7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8:29" x14ac:dyDescent="0.35">
      <c r="H117" s="5"/>
      <c r="I117" s="6"/>
      <c r="J117" s="6"/>
      <c r="K117" s="6"/>
      <c r="L117" s="6"/>
      <c r="M117" s="6"/>
      <c r="N117" s="6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5"/>
      <c r="Z117" s="5"/>
      <c r="AA117" s="5"/>
      <c r="AB117" s="5"/>
      <c r="AC117" s="5"/>
    </row>
    <row r="118" spans="8:29" x14ac:dyDescent="0.35">
      <c r="H118" s="5"/>
      <c r="I118" s="6"/>
      <c r="J118" s="6"/>
      <c r="K118" s="6"/>
      <c r="L118" s="6"/>
      <c r="M118" s="6"/>
      <c r="N118" s="6"/>
      <c r="O118" s="7"/>
      <c r="P118" s="7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8:29" x14ac:dyDescent="0.35">
      <c r="H119" s="5"/>
      <c r="I119" s="6"/>
      <c r="J119" s="6"/>
      <c r="K119" s="6"/>
      <c r="L119" s="6"/>
      <c r="M119" s="6"/>
      <c r="N119" s="6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5"/>
      <c r="Z119" s="5"/>
      <c r="AA119" s="5"/>
      <c r="AB119" s="5"/>
      <c r="AC119" s="5"/>
    </row>
    <row r="120" spans="8:29" x14ac:dyDescent="0.35"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8:29" x14ac:dyDescent="0.35"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8:29" x14ac:dyDescent="0.35"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8:29" x14ac:dyDescent="0.35"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8:29" x14ac:dyDescent="0.35"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8:29" x14ac:dyDescent="0.35"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8:29" x14ac:dyDescent="0.35"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8:29" x14ac:dyDescent="0.35"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8:29" x14ac:dyDescent="0.35"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31" spans="23:43" ht="15" thickBot="1" x14ac:dyDescent="0.4"/>
    <row r="132" spans="23:43" ht="15" thickBot="1" x14ac:dyDescent="0.4">
      <c r="AG132" s="34" t="s">
        <v>0</v>
      </c>
      <c r="AH132" s="35" t="s">
        <v>108</v>
      </c>
      <c r="AI132" s="36" t="s">
        <v>10</v>
      </c>
      <c r="AJ132" s="88" t="s">
        <v>109</v>
      </c>
      <c r="AK132" s="89"/>
      <c r="AL132" s="89"/>
      <c r="AM132" s="89"/>
      <c r="AN132" s="89"/>
      <c r="AO132" s="89"/>
      <c r="AP132" s="89"/>
      <c r="AQ132" s="90"/>
    </row>
    <row r="133" spans="23:43" ht="15" thickBot="1" x14ac:dyDescent="0.4">
      <c r="AG133" s="96"/>
      <c r="AH133" s="96"/>
      <c r="AI133" s="98"/>
      <c r="AJ133" s="85" t="s">
        <v>110</v>
      </c>
      <c r="AK133" s="86"/>
      <c r="AL133" s="87" t="s">
        <v>7</v>
      </c>
      <c r="AM133" s="86"/>
      <c r="AN133" s="87" t="s">
        <v>111</v>
      </c>
      <c r="AO133" s="86"/>
      <c r="AP133" s="87" t="s">
        <v>8</v>
      </c>
      <c r="AQ133" s="86"/>
    </row>
    <row r="134" spans="23:43" ht="15" thickBot="1" x14ac:dyDescent="0.4">
      <c r="AG134" s="97"/>
      <c r="AH134" s="97"/>
      <c r="AI134" s="99"/>
      <c r="AJ134" s="37" t="s">
        <v>5</v>
      </c>
      <c r="AK134" s="37" t="s">
        <v>6</v>
      </c>
      <c r="AL134" s="37" t="s">
        <v>5</v>
      </c>
      <c r="AM134" s="37" t="s">
        <v>6</v>
      </c>
      <c r="AN134" s="37" t="s">
        <v>5</v>
      </c>
      <c r="AO134" s="37" t="s">
        <v>6</v>
      </c>
      <c r="AP134" s="37" t="s">
        <v>5</v>
      </c>
      <c r="AQ134" s="37" t="s">
        <v>6</v>
      </c>
    </row>
    <row r="135" spans="23:43" ht="15" thickBot="1" x14ac:dyDescent="0.4">
      <c r="AG135" s="73" t="s">
        <v>17</v>
      </c>
      <c r="AH135" s="76" t="s">
        <v>112</v>
      </c>
      <c r="AI135" s="39" t="s">
        <v>14</v>
      </c>
      <c r="AJ135" s="39">
        <v>0.84</v>
      </c>
      <c r="AK135" s="39">
        <v>0.82</v>
      </c>
      <c r="AL135" s="39">
        <v>0.9</v>
      </c>
      <c r="AM135" s="39">
        <v>0.89</v>
      </c>
      <c r="AN135" s="39">
        <v>0.86</v>
      </c>
      <c r="AO135" s="39">
        <v>0.86</v>
      </c>
      <c r="AP135" s="39">
        <v>0.81</v>
      </c>
      <c r="AQ135" s="39">
        <v>0.77</v>
      </c>
    </row>
    <row r="136" spans="23:43" ht="15" thickBot="1" x14ac:dyDescent="0.4">
      <c r="AG136" s="74"/>
      <c r="AH136" s="77"/>
      <c r="AI136" s="40" t="s">
        <v>13</v>
      </c>
      <c r="AJ136" s="41">
        <v>0.86</v>
      </c>
      <c r="AK136" s="41">
        <v>0.81</v>
      </c>
      <c r="AL136" s="41">
        <v>0.93</v>
      </c>
      <c r="AM136" s="41">
        <v>0.89</v>
      </c>
      <c r="AN136" s="41">
        <v>0.88</v>
      </c>
      <c r="AO136" s="41">
        <v>0.87</v>
      </c>
      <c r="AP136" s="41">
        <v>0.81</v>
      </c>
      <c r="AQ136" s="41">
        <v>0.75</v>
      </c>
    </row>
    <row r="137" spans="23:43" ht="15" thickBot="1" x14ac:dyDescent="0.4">
      <c r="AA137" t="s">
        <v>120</v>
      </c>
      <c r="AG137" s="74"/>
      <c r="AH137" s="77"/>
      <c r="AI137" s="39" t="s">
        <v>12</v>
      </c>
      <c r="AJ137" s="39">
        <v>0.89</v>
      </c>
      <c r="AK137" s="42">
        <v>0.84</v>
      </c>
      <c r="AL137" s="39">
        <v>0.95</v>
      </c>
      <c r="AM137" s="39">
        <v>0.9</v>
      </c>
      <c r="AN137" s="39">
        <v>0.91</v>
      </c>
      <c r="AO137" s="39">
        <v>0.89</v>
      </c>
      <c r="AP137" s="39">
        <v>0.86</v>
      </c>
      <c r="AQ137" s="42">
        <v>0.79</v>
      </c>
    </row>
    <row r="138" spans="23:43" ht="15" thickBot="1" x14ac:dyDescent="0.4">
      <c r="AG138" s="74"/>
      <c r="AH138" s="77"/>
      <c r="AI138" s="41" t="s">
        <v>113</v>
      </c>
      <c r="AJ138" s="41">
        <v>0.73</v>
      </c>
      <c r="AK138" s="41">
        <v>0.76</v>
      </c>
      <c r="AL138" s="41">
        <v>0.85</v>
      </c>
      <c r="AM138" s="41">
        <v>0.88</v>
      </c>
      <c r="AN138" s="38">
        <v>0.78</v>
      </c>
      <c r="AO138" s="38">
        <v>0.81</v>
      </c>
      <c r="AP138" s="38">
        <v>0.67</v>
      </c>
      <c r="AQ138" s="38">
        <v>0.68</v>
      </c>
    </row>
    <row r="139" spans="23:43" ht="15" thickBot="1" x14ac:dyDescent="0.4">
      <c r="X139" s="85" t="s">
        <v>110</v>
      </c>
      <c r="Y139" s="86"/>
      <c r="Z139" s="87" t="s">
        <v>7</v>
      </c>
      <c r="AA139" s="86"/>
      <c r="AB139" s="87" t="s">
        <v>111</v>
      </c>
      <c r="AC139" s="86"/>
      <c r="AD139" s="87" t="s">
        <v>8</v>
      </c>
      <c r="AE139" s="86"/>
      <c r="AG139" s="74"/>
      <c r="AH139" s="78"/>
      <c r="AI139" s="39" t="s">
        <v>11</v>
      </c>
      <c r="AJ139" s="39">
        <v>0.84</v>
      </c>
      <c r="AK139" s="39">
        <v>0.81</v>
      </c>
      <c r="AL139" s="39">
        <v>0.91</v>
      </c>
      <c r="AM139" s="39">
        <v>0.88</v>
      </c>
      <c r="AN139" s="43">
        <v>0.87</v>
      </c>
      <c r="AO139" s="43">
        <v>0.86</v>
      </c>
      <c r="AP139" s="43">
        <v>0.81</v>
      </c>
      <c r="AQ139" s="43">
        <v>0.76</v>
      </c>
    </row>
    <row r="140" spans="23:43" ht="15" thickBot="1" x14ac:dyDescent="0.4">
      <c r="X140" s="37" t="s">
        <v>5</v>
      </c>
      <c r="Y140" s="37" t="s">
        <v>6</v>
      </c>
      <c r="Z140" s="37" t="s">
        <v>5</v>
      </c>
      <c r="AA140" s="37" t="s">
        <v>6</v>
      </c>
      <c r="AB140" s="37" t="s">
        <v>5</v>
      </c>
      <c r="AC140" s="37" t="s">
        <v>6</v>
      </c>
      <c r="AD140" s="37" t="s">
        <v>5</v>
      </c>
      <c r="AE140" s="37" t="s">
        <v>6</v>
      </c>
      <c r="AF140" s="49" t="s">
        <v>119</v>
      </c>
      <c r="AG140" s="74"/>
      <c r="AH140" s="76" t="s">
        <v>103</v>
      </c>
      <c r="AI140" s="39" t="s">
        <v>14</v>
      </c>
      <c r="AJ140" s="39">
        <v>0.86</v>
      </c>
      <c r="AK140" s="39">
        <v>0.82</v>
      </c>
      <c r="AL140" s="39">
        <v>0.88</v>
      </c>
      <c r="AM140" s="39">
        <v>0.85</v>
      </c>
      <c r="AN140" s="39">
        <v>0.92</v>
      </c>
      <c r="AO140" s="39">
        <v>0.9</v>
      </c>
      <c r="AP140" s="39">
        <v>0.85</v>
      </c>
      <c r="AQ140" s="42">
        <v>0.79</v>
      </c>
    </row>
    <row r="141" spans="23:43" ht="15" thickBot="1" x14ac:dyDescent="0.4">
      <c r="W141" t="s">
        <v>115</v>
      </c>
      <c r="X141" s="39">
        <v>0.89</v>
      </c>
      <c r="Y141" s="42">
        <v>0.84</v>
      </c>
      <c r="Z141" s="39">
        <v>0.95</v>
      </c>
      <c r="AA141" s="39">
        <v>0.9</v>
      </c>
      <c r="AB141" s="39">
        <v>0.91</v>
      </c>
      <c r="AC141" s="39">
        <v>0.89</v>
      </c>
      <c r="AD141" s="39">
        <v>0.86</v>
      </c>
      <c r="AE141" s="42">
        <v>0.79</v>
      </c>
      <c r="AF141" s="50">
        <f>AD141-AE141</f>
        <v>6.9999999999999951E-2</v>
      </c>
      <c r="AG141" s="74"/>
      <c r="AH141" s="77"/>
      <c r="AI141" s="40" t="s">
        <v>13</v>
      </c>
      <c r="AJ141" s="41">
        <v>0.85</v>
      </c>
      <c r="AK141" s="41">
        <v>0.81</v>
      </c>
      <c r="AL141" s="41">
        <v>86</v>
      </c>
      <c r="AM141" s="41">
        <v>0.82</v>
      </c>
      <c r="AN141" s="41">
        <v>0.91</v>
      </c>
      <c r="AO141" s="41">
        <v>0.91</v>
      </c>
      <c r="AP141" s="41">
        <v>0.83</v>
      </c>
      <c r="AQ141" s="41">
        <v>0.78</v>
      </c>
    </row>
    <row r="142" spans="23:43" ht="15" thickBot="1" x14ac:dyDescent="0.4">
      <c r="W142" t="s">
        <v>116</v>
      </c>
      <c r="X142" s="39">
        <v>0.86</v>
      </c>
      <c r="Y142" s="39">
        <v>0.82</v>
      </c>
      <c r="Z142" s="39">
        <v>0.88</v>
      </c>
      <c r="AA142" s="39">
        <v>0.85</v>
      </c>
      <c r="AB142" s="39">
        <v>0.92</v>
      </c>
      <c r="AC142" s="39">
        <v>0.9</v>
      </c>
      <c r="AD142" s="39">
        <v>0.85</v>
      </c>
      <c r="AE142" s="42">
        <v>0.79</v>
      </c>
      <c r="AF142" s="50">
        <f t="shared" ref="AF142:AF145" si="0">AD142-AE142</f>
        <v>5.9999999999999942E-2</v>
      </c>
      <c r="AG142" s="74"/>
      <c r="AH142" s="77"/>
      <c r="AI142" s="39" t="s">
        <v>12</v>
      </c>
      <c r="AJ142" s="44">
        <v>0.99</v>
      </c>
      <c r="AK142" s="44">
        <v>0.81</v>
      </c>
      <c r="AL142" s="44">
        <v>1</v>
      </c>
      <c r="AM142" s="44">
        <v>0.88</v>
      </c>
      <c r="AN142" s="44">
        <v>0.99</v>
      </c>
      <c r="AO142" s="44">
        <v>0.87</v>
      </c>
      <c r="AP142" s="44">
        <v>0.99</v>
      </c>
      <c r="AQ142" s="44">
        <v>0.77</v>
      </c>
    </row>
    <row r="143" spans="23:43" ht="15" thickBot="1" x14ac:dyDescent="0.4">
      <c r="W143" t="s">
        <v>117</v>
      </c>
      <c r="X143" s="41">
        <v>0.86</v>
      </c>
      <c r="Y143" s="45">
        <v>0.84</v>
      </c>
      <c r="Z143" s="41">
        <v>0.91</v>
      </c>
      <c r="AA143" s="41">
        <v>0.89</v>
      </c>
      <c r="AB143" s="41">
        <v>0.88</v>
      </c>
      <c r="AC143" s="41">
        <v>0.88</v>
      </c>
      <c r="AD143" s="41">
        <v>0.83</v>
      </c>
      <c r="AE143" s="45">
        <v>0.8</v>
      </c>
      <c r="AF143" s="50">
        <f t="shared" si="0"/>
        <v>2.9999999999999916E-2</v>
      </c>
      <c r="AG143" s="74"/>
      <c r="AH143" s="77"/>
      <c r="AI143" s="41" t="s">
        <v>113</v>
      </c>
      <c r="AJ143" s="41">
        <v>0.76</v>
      </c>
      <c r="AK143" s="41">
        <v>0.77</v>
      </c>
      <c r="AL143" s="41">
        <v>0.79</v>
      </c>
      <c r="AM143" s="41">
        <v>0.8</v>
      </c>
      <c r="AN143" s="38">
        <v>0.85</v>
      </c>
      <c r="AO143" s="38">
        <v>0.88</v>
      </c>
      <c r="AP143" s="38">
        <v>0.73</v>
      </c>
      <c r="AQ143" s="38">
        <v>0.74</v>
      </c>
    </row>
    <row r="144" spans="23:43" ht="15" thickBot="1" x14ac:dyDescent="0.4">
      <c r="W144" t="s">
        <v>118</v>
      </c>
      <c r="X144" s="41">
        <v>0.84</v>
      </c>
      <c r="Y144" s="41">
        <v>0.81</v>
      </c>
      <c r="Z144" s="41">
        <v>0.88</v>
      </c>
      <c r="AA144" s="41">
        <v>0.83</v>
      </c>
      <c r="AB144" s="41">
        <v>0.89</v>
      </c>
      <c r="AC144" s="41">
        <v>0.9</v>
      </c>
      <c r="AD144" s="41">
        <v>0.82</v>
      </c>
      <c r="AE144" s="46">
        <v>0.78</v>
      </c>
      <c r="AF144" s="50">
        <f t="shared" si="0"/>
        <v>3.9999999999999925E-2</v>
      </c>
      <c r="AG144" s="74"/>
      <c r="AH144" s="78"/>
      <c r="AI144" s="39" t="s">
        <v>11</v>
      </c>
      <c r="AJ144" s="39">
        <v>0.87</v>
      </c>
      <c r="AK144" s="42">
        <v>0.83</v>
      </c>
      <c r="AL144" s="39">
        <v>0.92</v>
      </c>
      <c r="AM144" s="39">
        <v>0.89</v>
      </c>
      <c r="AN144" s="43">
        <v>0.9</v>
      </c>
      <c r="AO144" s="43">
        <v>0.89</v>
      </c>
      <c r="AP144" s="43">
        <v>0.85</v>
      </c>
      <c r="AQ144" s="43">
        <v>0.79</v>
      </c>
    </row>
    <row r="145" spans="23:43" ht="15" thickBot="1" x14ac:dyDescent="0.4">
      <c r="W145" t="s">
        <v>121</v>
      </c>
      <c r="X145" s="47">
        <v>0.83</v>
      </c>
      <c r="Y145" s="47">
        <v>0.79</v>
      </c>
      <c r="Z145" s="47">
        <v>0.86</v>
      </c>
      <c r="AA145" s="47">
        <v>0.82</v>
      </c>
      <c r="AB145" s="47">
        <v>0.88</v>
      </c>
      <c r="AC145" s="47">
        <v>0.87</v>
      </c>
      <c r="AD145" s="47">
        <v>0.8</v>
      </c>
      <c r="AE145" s="48">
        <v>0.74</v>
      </c>
      <c r="AF145" s="50">
        <f t="shared" si="0"/>
        <v>6.0000000000000053E-2</v>
      </c>
      <c r="AG145" s="74"/>
      <c r="AH145" s="76" t="s">
        <v>104</v>
      </c>
      <c r="AI145" s="39" t="s">
        <v>14</v>
      </c>
      <c r="AJ145" s="44">
        <v>0.93</v>
      </c>
      <c r="AK145" s="44">
        <v>0.8</v>
      </c>
      <c r="AL145" s="44">
        <v>0.93</v>
      </c>
      <c r="AM145" s="44">
        <v>0.82</v>
      </c>
      <c r="AN145" s="44">
        <v>0.97</v>
      </c>
      <c r="AO145" s="44">
        <v>0.89</v>
      </c>
      <c r="AP145" s="44">
        <v>0.92</v>
      </c>
      <c r="AQ145" s="44">
        <v>0.76</v>
      </c>
    </row>
    <row r="146" spans="23:43" ht="15" thickBot="1" x14ac:dyDescent="0.4">
      <c r="AG146" s="74"/>
      <c r="AH146" s="77"/>
      <c r="AI146" s="40" t="s">
        <v>13</v>
      </c>
      <c r="AJ146" s="41">
        <v>0.86</v>
      </c>
      <c r="AK146" s="45">
        <v>0.84</v>
      </c>
      <c r="AL146" s="41">
        <v>0.91</v>
      </c>
      <c r="AM146" s="41">
        <v>0.89</v>
      </c>
      <c r="AN146" s="41">
        <v>0.88</v>
      </c>
      <c r="AO146" s="41">
        <v>0.88</v>
      </c>
      <c r="AP146" s="41">
        <v>0.83</v>
      </c>
      <c r="AQ146" s="45">
        <v>0.8</v>
      </c>
    </row>
    <row r="147" spans="23:43" ht="15" thickBot="1" x14ac:dyDescent="0.4">
      <c r="AG147" s="74"/>
      <c r="AH147" s="77"/>
      <c r="AI147" s="39" t="s">
        <v>12</v>
      </c>
      <c r="AJ147" s="39">
        <v>0.85</v>
      </c>
      <c r="AK147" s="39">
        <v>0.81</v>
      </c>
      <c r="AL147" s="39">
        <v>0.9</v>
      </c>
      <c r="AM147" s="39">
        <v>0.88</v>
      </c>
      <c r="AN147" s="39">
        <v>0.89</v>
      </c>
      <c r="AO147" s="39">
        <v>0.87</v>
      </c>
      <c r="AP147" s="39">
        <v>0.83</v>
      </c>
      <c r="AQ147" s="39">
        <v>0.77</v>
      </c>
    </row>
    <row r="148" spans="23:43" ht="15" thickBot="1" x14ac:dyDescent="0.4">
      <c r="X148" s="85" t="s">
        <v>110</v>
      </c>
      <c r="Y148" s="86"/>
      <c r="Z148" s="87" t="s">
        <v>8</v>
      </c>
      <c r="AA148" s="86"/>
      <c r="AB148" s="87"/>
      <c r="AC148" s="86"/>
      <c r="AD148" s="87"/>
      <c r="AE148" s="86"/>
      <c r="AG148" s="74"/>
      <c r="AH148" s="77"/>
      <c r="AI148" s="41" t="s">
        <v>113</v>
      </c>
      <c r="AJ148" s="41">
        <v>0.74</v>
      </c>
      <c r="AK148" s="41">
        <v>0.71</v>
      </c>
      <c r="AL148" s="41">
        <v>0.78</v>
      </c>
      <c r="AM148" s="41">
        <v>0.7</v>
      </c>
      <c r="AN148" s="38">
        <v>0.83</v>
      </c>
      <c r="AO148" s="38">
        <v>0.87</v>
      </c>
      <c r="AP148" s="38">
        <v>0.71</v>
      </c>
      <c r="AQ148" s="38">
        <v>0.68</v>
      </c>
    </row>
    <row r="149" spans="23:43" ht="15" thickBot="1" x14ac:dyDescent="0.4">
      <c r="X149" s="37" t="s">
        <v>5</v>
      </c>
      <c r="Y149" s="37" t="s">
        <v>6</v>
      </c>
      <c r="Z149" s="37" t="s">
        <v>5</v>
      </c>
      <c r="AA149" s="37" t="s">
        <v>6</v>
      </c>
      <c r="AB149" s="37"/>
      <c r="AC149" s="37"/>
      <c r="AD149" s="37"/>
      <c r="AE149" s="37"/>
      <c r="AG149" s="74"/>
      <c r="AH149" s="78"/>
      <c r="AI149" s="39" t="s">
        <v>11</v>
      </c>
      <c r="AJ149" s="39">
        <v>0.84</v>
      </c>
      <c r="AK149" s="39">
        <v>0.81</v>
      </c>
      <c r="AL149" s="39">
        <v>0.9</v>
      </c>
      <c r="AM149" s="39">
        <v>0.88</v>
      </c>
      <c r="AN149" s="43">
        <v>0.87</v>
      </c>
      <c r="AO149" s="43">
        <v>0.86</v>
      </c>
      <c r="AP149" s="43">
        <v>0.81</v>
      </c>
      <c r="AQ149" s="43">
        <v>0.76</v>
      </c>
    </row>
    <row r="150" spans="23:43" ht="15" thickBot="1" x14ac:dyDescent="0.4">
      <c r="W150" t="s">
        <v>115</v>
      </c>
      <c r="X150" s="39">
        <v>0.89</v>
      </c>
      <c r="Y150" s="42">
        <v>0.84</v>
      </c>
      <c r="Z150" s="39">
        <v>0.86</v>
      </c>
      <c r="AA150" s="42">
        <v>0.79</v>
      </c>
      <c r="AB150" s="39"/>
      <c r="AC150" s="39"/>
      <c r="AD150" s="39"/>
      <c r="AE150" s="42"/>
      <c r="AG150" s="74"/>
      <c r="AH150" s="76" t="s">
        <v>105</v>
      </c>
      <c r="AI150" s="39" t="s">
        <v>14</v>
      </c>
      <c r="AJ150" s="44">
        <v>0.99</v>
      </c>
      <c r="AK150" s="44">
        <v>0.78</v>
      </c>
      <c r="AL150" s="44">
        <v>0.99</v>
      </c>
      <c r="AM150" s="44">
        <v>0.82</v>
      </c>
      <c r="AN150" s="44">
        <v>0.99</v>
      </c>
      <c r="AO150" s="44">
        <v>0.87</v>
      </c>
      <c r="AP150" s="44">
        <v>0.98</v>
      </c>
      <c r="AQ150" s="44">
        <v>0.78</v>
      </c>
    </row>
    <row r="151" spans="23:43" ht="15" thickBot="1" x14ac:dyDescent="0.4">
      <c r="W151" t="s">
        <v>116</v>
      </c>
      <c r="X151" s="39">
        <v>0.86</v>
      </c>
      <c r="Y151" s="39">
        <v>0.82</v>
      </c>
      <c r="Z151" s="39">
        <v>0.85</v>
      </c>
      <c r="AA151" s="42">
        <v>0.79</v>
      </c>
      <c r="AB151" s="39"/>
      <c r="AC151" s="39"/>
      <c r="AD151" s="39"/>
      <c r="AE151" s="42"/>
      <c r="AG151" s="74"/>
      <c r="AH151" s="77"/>
      <c r="AI151" s="40" t="s">
        <v>13</v>
      </c>
      <c r="AJ151" s="41">
        <v>0.84</v>
      </c>
      <c r="AK151" s="41">
        <v>0.81</v>
      </c>
      <c r="AL151" s="41">
        <v>0.88</v>
      </c>
      <c r="AM151" s="41">
        <v>0.83</v>
      </c>
      <c r="AN151" s="41">
        <v>0.89</v>
      </c>
      <c r="AO151" s="41">
        <v>0.9</v>
      </c>
      <c r="AP151" s="41">
        <v>0.82</v>
      </c>
      <c r="AQ151" s="46">
        <v>0.78</v>
      </c>
    </row>
    <row r="152" spans="23:43" ht="15" thickBot="1" x14ac:dyDescent="0.4">
      <c r="W152" t="s">
        <v>117</v>
      </c>
      <c r="X152" s="41">
        <v>0.86</v>
      </c>
      <c r="Y152" s="45">
        <v>0.84</v>
      </c>
      <c r="Z152" s="41">
        <v>0.83</v>
      </c>
      <c r="AA152" s="45">
        <v>0.8</v>
      </c>
      <c r="AB152" s="41"/>
      <c r="AC152" s="41"/>
      <c r="AD152" s="41"/>
      <c r="AE152" s="45"/>
      <c r="AG152" s="74"/>
      <c r="AH152" s="77"/>
      <c r="AI152" s="39" t="s">
        <v>12</v>
      </c>
      <c r="AJ152" s="39">
        <v>0.87</v>
      </c>
      <c r="AK152" s="42">
        <v>0.8</v>
      </c>
      <c r="AL152" s="39">
        <v>0.93</v>
      </c>
      <c r="AM152" s="39">
        <v>0.89</v>
      </c>
      <c r="AN152" s="39">
        <v>0.88</v>
      </c>
      <c r="AO152" s="39">
        <v>0.84</v>
      </c>
      <c r="AP152" s="39">
        <v>0.84</v>
      </c>
      <c r="AQ152" s="39">
        <v>0.74</v>
      </c>
    </row>
    <row r="153" spans="23:43" ht="15" thickBot="1" x14ac:dyDescent="0.4">
      <c r="W153" t="s">
        <v>118</v>
      </c>
      <c r="X153" s="41">
        <v>0.84</v>
      </c>
      <c r="Y153" s="41">
        <v>0.81</v>
      </c>
      <c r="Z153" s="41">
        <v>0.82</v>
      </c>
      <c r="AA153" s="46">
        <v>0.78</v>
      </c>
      <c r="AB153" s="41"/>
      <c r="AC153" s="41"/>
      <c r="AD153" s="41"/>
      <c r="AE153" s="46"/>
      <c r="AG153" s="74"/>
      <c r="AH153" s="77"/>
      <c r="AI153" s="41" t="s">
        <v>113</v>
      </c>
      <c r="AJ153" s="41">
        <v>0.69</v>
      </c>
      <c r="AK153" s="41">
        <v>0.74</v>
      </c>
      <c r="AL153" s="41">
        <v>0.67</v>
      </c>
      <c r="AM153" s="41">
        <v>0.8</v>
      </c>
      <c r="AN153" s="41">
        <v>0.85</v>
      </c>
      <c r="AO153" s="38">
        <v>0.83</v>
      </c>
      <c r="AP153" s="38">
        <v>0.67</v>
      </c>
      <c r="AQ153" s="38">
        <v>0.69</v>
      </c>
    </row>
    <row r="154" spans="23:43" ht="15" thickBot="1" x14ac:dyDescent="0.4">
      <c r="W154" t="s">
        <v>121</v>
      </c>
      <c r="X154" s="47">
        <v>0.83</v>
      </c>
      <c r="Y154" s="47">
        <v>0.79</v>
      </c>
      <c r="Z154" s="47">
        <v>0.8</v>
      </c>
      <c r="AA154" s="48">
        <v>0.74</v>
      </c>
      <c r="AB154" s="47"/>
      <c r="AC154" s="47"/>
      <c r="AD154" s="47"/>
      <c r="AE154" s="48"/>
      <c r="AG154" s="74"/>
      <c r="AH154" s="78"/>
      <c r="AI154" s="39" t="s">
        <v>11</v>
      </c>
      <c r="AJ154" s="39">
        <v>0.89</v>
      </c>
      <c r="AK154" s="39">
        <v>0.79</v>
      </c>
      <c r="AL154" s="39">
        <v>0.93</v>
      </c>
      <c r="AM154" s="39">
        <v>0.87</v>
      </c>
      <c r="AN154" s="39">
        <v>0.9</v>
      </c>
      <c r="AO154" s="43">
        <v>0.84</v>
      </c>
      <c r="AP154" s="43">
        <v>0.87</v>
      </c>
      <c r="AQ154" s="43">
        <v>0.73</v>
      </c>
    </row>
    <row r="155" spans="23:43" ht="15" thickBot="1" x14ac:dyDescent="0.4">
      <c r="AG155" s="74"/>
      <c r="AH155" s="82" t="s">
        <v>114</v>
      </c>
      <c r="AI155" s="47" t="s">
        <v>14</v>
      </c>
      <c r="AJ155" s="47">
        <v>0.87</v>
      </c>
      <c r="AK155" s="47">
        <v>0.79</v>
      </c>
      <c r="AL155" s="47">
        <v>0.9</v>
      </c>
      <c r="AM155" s="47">
        <v>0.85</v>
      </c>
      <c r="AN155" s="47">
        <v>0.91</v>
      </c>
      <c r="AO155" s="47">
        <v>0.86</v>
      </c>
      <c r="AP155" s="47">
        <v>0.85</v>
      </c>
      <c r="AQ155" s="47">
        <v>0.74</v>
      </c>
    </row>
    <row r="156" spans="23:43" ht="15" thickBot="1" x14ac:dyDescent="0.4">
      <c r="X156" s="87" t="s">
        <v>8</v>
      </c>
      <c r="Y156" s="86"/>
      <c r="AB156" s="51" t="s">
        <v>8</v>
      </c>
      <c r="AC156" s="52"/>
      <c r="AG156" s="74"/>
      <c r="AH156" s="83"/>
      <c r="AI156" s="39" t="s">
        <v>13</v>
      </c>
      <c r="AJ156" s="39">
        <v>0.83</v>
      </c>
      <c r="AK156" s="39">
        <v>0.77</v>
      </c>
      <c r="AL156" s="39">
        <v>0.85</v>
      </c>
      <c r="AM156" s="39">
        <v>0.79</v>
      </c>
      <c r="AN156" s="39">
        <v>0.9</v>
      </c>
      <c r="AO156" s="39">
        <v>0.88</v>
      </c>
      <c r="AP156" s="39">
        <v>0.81</v>
      </c>
      <c r="AQ156" s="39">
        <v>0.74</v>
      </c>
    </row>
    <row r="157" spans="23:43" ht="15" thickBot="1" x14ac:dyDescent="0.4">
      <c r="X157" s="37" t="s">
        <v>5</v>
      </c>
      <c r="Y157" s="37" t="s">
        <v>6</v>
      </c>
      <c r="AB157" s="37" t="s">
        <v>6</v>
      </c>
      <c r="AC157" s="37" t="s">
        <v>6</v>
      </c>
      <c r="AG157" s="74"/>
      <c r="AH157" s="83"/>
      <c r="AI157" s="47" t="s">
        <v>12</v>
      </c>
      <c r="AJ157" s="47">
        <v>0.83</v>
      </c>
      <c r="AK157" s="47">
        <v>0.79</v>
      </c>
      <c r="AL157" s="47">
        <v>0.86</v>
      </c>
      <c r="AM157" s="47">
        <v>0.82</v>
      </c>
      <c r="AN157" s="47">
        <v>0.88</v>
      </c>
      <c r="AO157" s="47">
        <v>0.87</v>
      </c>
      <c r="AP157" s="47">
        <v>0.8</v>
      </c>
      <c r="AQ157" s="48">
        <v>0.74</v>
      </c>
    </row>
    <row r="158" spans="23:43" ht="15" thickBot="1" x14ac:dyDescent="0.4">
      <c r="W158" t="s">
        <v>115</v>
      </c>
      <c r="X158" s="39">
        <v>0.86</v>
      </c>
      <c r="Y158" s="42">
        <v>0.79</v>
      </c>
      <c r="AA158" t="s">
        <v>117</v>
      </c>
      <c r="AB158" s="45">
        <v>0.8</v>
      </c>
      <c r="AC158" t="s">
        <v>117</v>
      </c>
      <c r="AD158" s="45">
        <v>0.8</v>
      </c>
      <c r="AG158" s="74"/>
      <c r="AH158" s="83"/>
      <c r="AI158" s="39" t="s">
        <v>113</v>
      </c>
      <c r="AJ158" s="39">
        <v>0.67</v>
      </c>
      <c r="AK158" s="42">
        <v>0.64</v>
      </c>
      <c r="AL158" s="39">
        <v>0.68</v>
      </c>
      <c r="AM158" s="39">
        <v>0.65</v>
      </c>
      <c r="AN158" s="39">
        <v>0.81</v>
      </c>
      <c r="AO158" s="39">
        <v>0.81</v>
      </c>
      <c r="AP158" s="39">
        <v>0.64</v>
      </c>
      <c r="AQ158" s="39">
        <v>0.6</v>
      </c>
    </row>
    <row r="159" spans="23:43" ht="15" thickBot="1" x14ac:dyDescent="0.4">
      <c r="W159" t="s">
        <v>117</v>
      </c>
      <c r="X159" s="41">
        <v>0.83</v>
      </c>
      <c r="Y159" s="45">
        <v>0.8</v>
      </c>
      <c r="AA159" t="s">
        <v>115</v>
      </c>
      <c r="AB159" s="42">
        <v>0.79</v>
      </c>
      <c r="AC159" s="45">
        <v>0.8</v>
      </c>
      <c r="AG159" s="75"/>
      <c r="AH159" s="84"/>
      <c r="AI159" s="47" t="s">
        <v>11</v>
      </c>
      <c r="AJ159" s="47">
        <v>0.82</v>
      </c>
      <c r="AK159" s="47">
        <v>0.78</v>
      </c>
      <c r="AL159" s="47">
        <v>0.88</v>
      </c>
      <c r="AM159" s="47">
        <v>0.84</v>
      </c>
      <c r="AN159" s="47">
        <v>0.86</v>
      </c>
      <c r="AO159" s="47">
        <v>0.86</v>
      </c>
      <c r="AP159" s="47">
        <v>0.79</v>
      </c>
      <c r="AQ159" s="47">
        <v>0.74</v>
      </c>
    </row>
    <row r="160" spans="23:43" ht="15" thickBot="1" x14ac:dyDescent="0.4">
      <c r="W160" t="s">
        <v>116</v>
      </c>
      <c r="X160" s="39">
        <v>0.85</v>
      </c>
      <c r="Y160" s="42">
        <v>0.79</v>
      </c>
      <c r="AA160" t="s">
        <v>116</v>
      </c>
      <c r="AB160" s="42">
        <v>0.79</v>
      </c>
      <c r="AC160" s="42">
        <v>0.79</v>
      </c>
    </row>
    <row r="161" spans="6:29" ht="15" thickBot="1" x14ac:dyDescent="0.4">
      <c r="W161" t="s">
        <v>118</v>
      </c>
      <c r="X161" s="41">
        <v>0.82</v>
      </c>
      <c r="Y161" s="46">
        <v>0.78</v>
      </c>
      <c r="AA161" t="s">
        <v>118</v>
      </c>
      <c r="AB161" s="46">
        <v>0.78</v>
      </c>
      <c r="AC161" s="46">
        <v>0.78</v>
      </c>
    </row>
    <row r="162" spans="6:29" ht="15" thickBot="1" x14ac:dyDescent="0.4">
      <c r="W162" t="s">
        <v>121</v>
      </c>
      <c r="X162" s="47">
        <v>0.8</v>
      </c>
      <c r="Y162" s="48">
        <v>0.74</v>
      </c>
      <c r="AA162" t="s">
        <v>121</v>
      </c>
      <c r="AB162" s="48">
        <v>0.74</v>
      </c>
      <c r="AC162" s="48">
        <v>0.74</v>
      </c>
    </row>
    <row r="173" spans="6:29" x14ac:dyDescent="0.35">
      <c r="G173" t="s">
        <v>18</v>
      </c>
      <c r="H173" t="s">
        <v>103</v>
      </c>
      <c r="I173" t="s">
        <v>104</v>
      </c>
      <c r="J173" t="s">
        <v>105</v>
      </c>
      <c r="K173" s="102" t="s">
        <v>18</v>
      </c>
      <c r="L173" s="102"/>
      <c r="M173" s="103" t="s">
        <v>19</v>
      </c>
      <c r="N173" s="103"/>
      <c r="O173" s="103"/>
      <c r="P173" s="103"/>
      <c r="Q173" s="104" t="s">
        <v>14</v>
      </c>
      <c r="R173" s="104"/>
      <c r="S173" s="15" t="s">
        <v>27</v>
      </c>
      <c r="T173" s="15" t="s">
        <v>28</v>
      </c>
    </row>
    <row r="174" spans="6:29" x14ac:dyDescent="0.35">
      <c r="F174" t="s">
        <v>18</v>
      </c>
      <c r="G174" s="17" t="s">
        <v>37</v>
      </c>
      <c r="H174" s="17" t="s">
        <v>64</v>
      </c>
      <c r="I174" t="s">
        <v>37</v>
      </c>
      <c r="J174" s="17">
        <v>0.8</v>
      </c>
      <c r="K174" s="102"/>
      <c r="L174" s="102"/>
      <c r="M174" s="103"/>
      <c r="N174" s="103"/>
      <c r="O174" s="103"/>
      <c r="P174" s="103"/>
      <c r="Q174" s="105" t="s">
        <v>13</v>
      </c>
      <c r="R174" s="106"/>
      <c r="S174" s="16" t="s">
        <v>32</v>
      </c>
      <c r="T174" s="16" t="s">
        <v>33</v>
      </c>
    </row>
    <row r="175" spans="6:29" x14ac:dyDescent="0.35">
      <c r="F175" t="s">
        <v>103</v>
      </c>
      <c r="G175" s="17" t="s">
        <v>64</v>
      </c>
      <c r="K175" s="102"/>
      <c r="L175" s="102"/>
      <c r="M175" s="103"/>
      <c r="N175" s="103"/>
      <c r="O175" s="103"/>
      <c r="P175" s="103"/>
      <c r="Q175" s="104" t="s">
        <v>12</v>
      </c>
      <c r="R175" s="104"/>
      <c r="S175" s="15" t="s">
        <v>34</v>
      </c>
      <c r="T175" s="17" t="s">
        <v>37</v>
      </c>
    </row>
    <row r="176" spans="6:29" x14ac:dyDescent="0.35">
      <c r="F176" t="s">
        <v>104</v>
      </c>
      <c r="G176" t="s">
        <v>37</v>
      </c>
      <c r="K176" s="102"/>
      <c r="L176" s="102"/>
      <c r="M176" s="103"/>
      <c r="N176" s="103"/>
      <c r="O176" s="103"/>
      <c r="P176" s="103"/>
      <c r="Q176" s="107" t="s">
        <v>21</v>
      </c>
      <c r="R176" s="107"/>
      <c r="S176" s="16">
        <v>0.73</v>
      </c>
      <c r="T176" s="16" t="s">
        <v>41</v>
      </c>
    </row>
    <row r="177" spans="6:20" x14ac:dyDescent="0.35">
      <c r="F177" t="s">
        <v>105</v>
      </c>
      <c r="G177" s="17">
        <v>0.8</v>
      </c>
      <c r="K177" s="102"/>
      <c r="L177" s="102"/>
      <c r="M177" s="103"/>
      <c r="N177" s="103"/>
      <c r="O177" s="103"/>
      <c r="P177" s="103"/>
      <c r="Q177" s="104" t="s">
        <v>11</v>
      </c>
      <c r="R177" s="104"/>
      <c r="S177" s="15">
        <v>0.84</v>
      </c>
      <c r="T177" s="15" t="s">
        <v>30</v>
      </c>
    </row>
    <row r="178" spans="6:20" x14ac:dyDescent="0.35">
      <c r="K178" s="102" t="s">
        <v>20</v>
      </c>
      <c r="L178" s="102"/>
      <c r="M178" s="103" t="s">
        <v>24</v>
      </c>
      <c r="N178" s="103"/>
      <c r="O178" s="103"/>
      <c r="P178" s="103"/>
      <c r="Q178" s="104" t="s">
        <v>14</v>
      </c>
      <c r="R178" s="104"/>
      <c r="S178" s="15" t="s">
        <v>46</v>
      </c>
      <c r="T178" s="15" t="s">
        <v>47</v>
      </c>
    </row>
    <row r="179" spans="6:20" x14ac:dyDescent="0.35">
      <c r="F179" t="s">
        <v>106</v>
      </c>
      <c r="G179" s="17">
        <v>0.81</v>
      </c>
      <c r="K179" s="102"/>
      <c r="L179" s="102"/>
      <c r="M179" s="103"/>
      <c r="N179" s="103"/>
      <c r="O179" s="103"/>
      <c r="P179" s="103"/>
      <c r="Q179" s="105" t="s">
        <v>13</v>
      </c>
      <c r="R179" s="106"/>
      <c r="S179" s="16" t="s">
        <v>50</v>
      </c>
      <c r="T179" s="16" t="s">
        <v>30</v>
      </c>
    </row>
    <row r="180" spans="6:20" x14ac:dyDescent="0.35">
      <c r="F180" t="s">
        <v>107</v>
      </c>
      <c r="G180" s="15">
        <v>0.8</v>
      </c>
      <c r="K180" s="102"/>
      <c r="L180" s="102"/>
      <c r="M180" s="103"/>
      <c r="N180" s="103"/>
      <c r="O180" s="103"/>
      <c r="P180" s="103"/>
      <c r="Q180" s="104" t="s">
        <v>12</v>
      </c>
      <c r="R180" s="104"/>
      <c r="S180" s="18" t="s">
        <v>55</v>
      </c>
      <c r="T180" s="18" t="s">
        <v>30</v>
      </c>
    </row>
    <row r="181" spans="6:20" x14ac:dyDescent="0.35">
      <c r="K181" s="102"/>
      <c r="L181" s="102"/>
      <c r="M181" s="103"/>
      <c r="N181" s="103"/>
      <c r="O181" s="103"/>
      <c r="P181" s="103"/>
      <c r="Q181" s="107" t="s">
        <v>21</v>
      </c>
      <c r="R181" s="107"/>
      <c r="S181" s="16" t="s">
        <v>59</v>
      </c>
      <c r="T181" s="16" t="s">
        <v>31</v>
      </c>
    </row>
    <row r="182" spans="6:20" x14ac:dyDescent="0.35">
      <c r="K182" s="102"/>
      <c r="L182" s="102"/>
      <c r="M182" s="103"/>
      <c r="N182" s="103"/>
      <c r="O182" s="103"/>
      <c r="P182" s="103"/>
      <c r="Q182" s="104" t="s">
        <v>11</v>
      </c>
      <c r="R182" s="104"/>
      <c r="S182" s="15" t="s">
        <v>58</v>
      </c>
      <c r="T182" s="17" t="s">
        <v>64</v>
      </c>
    </row>
    <row r="183" spans="6:20" x14ac:dyDescent="0.35">
      <c r="K183" s="102" t="s">
        <v>22</v>
      </c>
      <c r="L183" s="102"/>
      <c r="M183" s="103" t="s">
        <v>25</v>
      </c>
      <c r="N183" s="103"/>
      <c r="O183" s="103"/>
      <c r="P183" s="103"/>
      <c r="Q183" s="104" t="s">
        <v>14</v>
      </c>
      <c r="R183" s="104"/>
      <c r="S183" s="18" t="s">
        <v>69</v>
      </c>
      <c r="T183" s="18" t="s">
        <v>70</v>
      </c>
    </row>
    <row r="184" spans="6:20" x14ac:dyDescent="0.35">
      <c r="K184" s="102"/>
      <c r="L184" s="102"/>
      <c r="M184" s="103"/>
      <c r="N184" s="103"/>
      <c r="O184" s="103"/>
      <c r="P184" s="103"/>
      <c r="Q184" s="105" t="s">
        <v>13</v>
      </c>
      <c r="R184" s="106"/>
      <c r="S184" s="16" t="s">
        <v>46</v>
      </c>
      <c r="T184" s="29" t="s">
        <v>37</v>
      </c>
    </row>
    <row r="185" spans="6:20" x14ac:dyDescent="0.35">
      <c r="K185" s="102"/>
      <c r="L185" s="102"/>
      <c r="M185" s="103"/>
      <c r="N185" s="103"/>
      <c r="O185" s="103"/>
      <c r="P185" s="103"/>
      <c r="Q185" s="104" t="s">
        <v>12</v>
      </c>
      <c r="R185" s="104"/>
      <c r="S185" s="15" t="s">
        <v>50</v>
      </c>
      <c r="T185" s="15" t="s">
        <v>30</v>
      </c>
    </row>
    <row r="186" spans="6:20" x14ac:dyDescent="0.35">
      <c r="K186" s="102"/>
      <c r="L186" s="102"/>
      <c r="M186" s="103"/>
      <c r="N186" s="103"/>
      <c r="O186" s="103"/>
      <c r="P186" s="103"/>
      <c r="Q186" s="107" t="s">
        <v>21</v>
      </c>
      <c r="R186" s="107"/>
      <c r="S186" s="16" t="s">
        <v>73</v>
      </c>
      <c r="T186" s="16" t="s">
        <v>74</v>
      </c>
    </row>
    <row r="187" spans="6:20" x14ac:dyDescent="0.35">
      <c r="K187" s="102"/>
      <c r="L187" s="102"/>
      <c r="M187" s="103"/>
      <c r="N187" s="103"/>
      <c r="O187" s="103"/>
      <c r="P187" s="103"/>
      <c r="Q187" s="104" t="s">
        <v>11</v>
      </c>
      <c r="R187" s="104"/>
      <c r="S187" s="15" t="s">
        <v>27</v>
      </c>
      <c r="T187" s="15" t="s">
        <v>30</v>
      </c>
    </row>
    <row r="188" spans="6:20" x14ac:dyDescent="0.35">
      <c r="K188" s="102" t="s">
        <v>23</v>
      </c>
      <c r="L188" s="102"/>
      <c r="M188" s="103" t="s">
        <v>26</v>
      </c>
      <c r="N188" s="103"/>
      <c r="O188" s="103"/>
      <c r="P188" s="103"/>
      <c r="Q188" s="104" t="s">
        <v>14</v>
      </c>
      <c r="R188" s="104"/>
      <c r="S188" s="18">
        <v>0.99</v>
      </c>
      <c r="T188" s="18">
        <v>0.78</v>
      </c>
    </row>
    <row r="189" spans="6:20" x14ac:dyDescent="0.35">
      <c r="K189" s="102"/>
      <c r="L189" s="102"/>
      <c r="M189" s="103"/>
      <c r="N189" s="103"/>
      <c r="O189" s="103"/>
      <c r="P189" s="103"/>
      <c r="Q189" s="105" t="s">
        <v>13</v>
      </c>
      <c r="R189" s="106"/>
      <c r="S189" s="16">
        <v>0.84</v>
      </c>
      <c r="T189" s="16">
        <v>0.81</v>
      </c>
    </row>
    <row r="190" spans="6:20" x14ac:dyDescent="0.35">
      <c r="K190" s="102"/>
      <c r="L190" s="102"/>
      <c r="M190" s="103"/>
      <c r="N190" s="103"/>
      <c r="O190" s="103"/>
      <c r="P190" s="103"/>
      <c r="Q190" s="104" t="s">
        <v>12</v>
      </c>
      <c r="R190" s="104"/>
      <c r="S190" s="15">
        <v>0.87</v>
      </c>
      <c r="T190" s="17">
        <v>0.8</v>
      </c>
    </row>
    <row r="191" spans="6:20" x14ac:dyDescent="0.35">
      <c r="K191" s="102"/>
      <c r="L191" s="102"/>
      <c r="M191" s="103"/>
      <c r="N191" s="103"/>
      <c r="O191" s="103"/>
      <c r="P191" s="103"/>
      <c r="Q191" s="107" t="s">
        <v>21</v>
      </c>
      <c r="R191" s="107"/>
      <c r="S191" s="16">
        <v>0.69</v>
      </c>
      <c r="T191" s="16">
        <v>0.74</v>
      </c>
    </row>
    <row r="192" spans="6:20" x14ac:dyDescent="0.35">
      <c r="K192" s="102"/>
      <c r="L192" s="102"/>
      <c r="M192" s="103"/>
      <c r="N192" s="103"/>
      <c r="O192" s="103"/>
      <c r="P192" s="103"/>
      <c r="Q192" s="104" t="s">
        <v>11</v>
      </c>
      <c r="R192" s="104"/>
      <c r="S192" s="15">
        <v>0.89</v>
      </c>
      <c r="T192" s="15">
        <v>0.79</v>
      </c>
    </row>
    <row r="193" spans="11:20" x14ac:dyDescent="0.35">
      <c r="K193" s="102" t="s">
        <v>18</v>
      </c>
      <c r="L193" s="102"/>
      <c r="M193" s="103" t="s">
        <v>91</v>
      </c>
      <c r="N193" s="103"/>
      <c r="O193" s="103"/>
      <c r="P193" s="103"/>
      <c r="Q193" s="104" t="s">
        <v>14</v>
      </c>
      <c r="R193" s="104"/>
      <c r="S193" s="23">
        <v>0.83</v>
      </c>
      <c r="T193" s="23">
        <v>0.8</v>
      </c>
    </row>
    <row r="194" spans="11:20" x14ac:dyDescent="0.35">
      <c r="K194" s="102"/>
      <c r="L194" s="102"/>
      <c r="M194" s="103"/>
      <c r="N194" s="103"/>
      <c r="O194" s="103"/>
      <c r="P194" s="103"/>
      <c r="Q194" s="105" t="s">
        <v>13</v>
      </c>
      <c r="R194" s="106"/>
      <c r="S194" s="16">
        <v>0.85</v>
      </c>
      <c r="T194" s="16">
        <v>0.8</v>
      </c>
    </row>
    <row r="195" spans="11:20" x14ac:dyDescent="0.35">
      <c r="K195" s="102"/>
      <c r="L195" s="102"/>
      <c r="M195" s="103"/>
      <c r="N195" s="103"/>
      <c r="O195" s="103"/>
      <c r="P195" s="103"/>
      <c r="Q195" s="104" t="s">
        <v>12</v>
      </c>
      <c r="R195" s="104"/>
      <c r="S195" s="15">
        <v>0.85</v>
      </c>
      <c r="T195" s="15">
        <v>0.81</v>
      </c>
    </row>
    <row r="196" spans="11:20" x14ac:dyDescent="0.35">
      <c r="K196" s="102"/>
      <c r="L196" s="102"/>
      <c r="M196" s="103"/>
      <c r="N196" s="103"/>
      <c r="O196" s="103"/>
      <c r="P196" s="103"/>
      <c r="Q196" s="107" t="s">
        <v>21</v>
      </c>
      <c r="R196" s="107"/>
      <c r="S196" s="16">
        <v>0.73</v>
      </c>
      <c r="T196" s="16">
        <v>0.76</v>
      </c>
    </row>
    <row r="197" spans="11:20" x14ac:dyDescent="0.35">
      <c r="K197" s="102"/>
      <c r="L197" s="102"/>
      <c r="M197" s="103"/>
      <c r="N197" s="103"/>
      <c r="O197" s="103"/>
      <c r="P197" s="103"/>
      <c r="Q197" s="104" t="s">
        <v>11</v>
      </c>
      <c r="R197" s="104"/>
      <c r="S197" s="15">
        <v>0.84</v>
      </c>
      <c r="T197" s="17">
        <v>0.81</v>
      </c>
    </row>
    <row r="198" spans="11:20" x14ac:dyDescent="0.35">
      <c r="K198" s="102" t="s">
        <v>20</v>
      </c>
      <c r="L198" s="102"/>
      <c r="M198" s="103" t="s">
        <v>92</v>
      </c>
      <c r="N198" s="103"/>
      <c r="O198" s="103"/>
      <c r="P198" s="103"/>
      <c r="Q198" s="104" t="s">
        <v>14</v>
      </c>
      <c r="R198" s="104"/>
      <c r="S198" s="15">
        <v>0.84</v>
      </c>
      <c r="T198" s="15">
        <v>0.81</v>
      </c>
    </row>
    <row r="199" spans="11:20" x14ac:dyDescent="0.35">
      <c r="K199" s="102"/>
      <c r="L199" s="102"/>
      <c r="M199" s="103"/>
      <c r="N199" s="103"/>
      <c r="O199" s="103"/>
      <c r="P199" s="103"/>
      <c r="Q199" s="105" t="s">
        <v>13</v>
      </c>
      <c r="R199" s="106"/>
      <c r="S199" s="16">
        <v>0.85</v>
      </c>
      <c r="T199" s="19">
        <v>0.83</v>
      </c>
    </row>
    <row r="200" spans="11:20" x14ac:dyDescent="0.35">
      <c r="K200" s="102"/>
      <c r="L200" s="102"/>
      <c r="M200" s="103"/>
      <c r="N200" s="103"/>
      <c r="O200" s="103"/>
      <c r="P200" s="103"/>
      <c r="Q200" s="104" t="s">
        <v>12</v>
      </c>
      <c r="R200" s="104"/>
      <c r="S200" s="15">
        <v>0.88</v>
      </c>
      <c r="T200" s="15">
        <v>0.83</v>
      </c>
    </row>
    <row r="201" spans="11:20" x14ac:dyDescent="0.35">
      <c r="K201" s="102"/>
      <c r="L201" s="102"/>
      <c r="M201" s="103"/>
      <c r="N201" s="103"/>
      <c r="O201" s="103"/>
      <c r="P201" s="103"/>
      <c r="Q201" s="107" t="s">
        <v>21</v>
      </c>
      <c r="R201" s="107"/>
      <c r="S201" s="16">
        <v>0.78</v>
      </c>
      <c r="T201" s="16">
        <v>0.79</v>
      </c>
    </row>
    <row r="202" spans="11:20" x14ac:dyDescent="0.35">
      <c r="K202" s="102"/>
      <c r="L202" s="102"/>
      <c r="M202" s="103"/>
      <c r="N202" s="103"/>
      <c r="O202" s="103"/>
      <c r="P202" s="103"/>
      <c r="Q202" s="104" t="s">
        <v>11</v>
      </c>
      <c r="R202" s="104"/>
      <c r="S202" s="15">
        <v>0.86</v>
      </c>
      <c r="T202" s="15">
        <v>0.83</v>
      </c>
    </row>
    <row r="203" spans="11:20" x14ac:dyDescent="0.35">
      <c r="K203" s="102" t="s">
        <v>22</v>
      </c>
      <c r="L203" s="102"/>
      <c r="M203" s="103" t="s">
        <v>93</v>
      </c>
      <c r="N203" s="103"/>
      <c r="O203" s="103"/>
      <c r="P203" s="103"/>
      <c r="Q203" s="104" t="s">
        <v>14</v>
      </c>
      <c r="R203" s="104"/>
      <c r="S203" s="15"/>
      <c r="T203" s="15"/>
    </row>
    <row r="204" spans="11:20" x14ac:dyDescent="0.35">
      <c r="K204" s="102"/>
      <c r="L204" s="102"/>
      <c r="M204" s="103"/>
      <c r="N204" s="103"/>
      <c r="O204" s="103"/>
      <c r="P204" s="103"/>
      <c r="Q204" s="105" t="s">
        <v>13</v>
      </c>
      <c r="R204" s="106"/>
      <c r="S204" s="16">
        <v>0.83</v>
      </c>
      <c r="T204" s="16">
        <v>0.79</v>
      </c>
    </row>
    <row r="205" spans="11:20" x14ac:dyDescent="0.35">
      <c r="K205" s="102"/>
      <c r="L205" s="102"/>
      <c r="M205" s="103"/>
      <c r="N205" s="103"/>
      <c r="O205" s="103"/>
      <c r="P205" s="103"/>
      <c r="Q205" s="104" t="s">
        <v>12</v>
      </c>
      <c r="R205" s="104"/>
      <c r="S205" s="15">
        <v>0.84</v>
      </c>
      <c r="T205" s="15">
        <v>0.8</v>
      </c>
    </row>
    <row r="206" spans="11:20" x14ac:dyDescent="0.35">
      <c r="K206" s="102"/>
      <c r="L206" s="102"/>
      <c r="M206" s="103"/>
      <c r="N206" s="103"/>
      <c r="O206" s="103"/>
      <c r="P206" s="103"/>
      <c r="Q206" s="107" t="s">
        <v>21</v>
      </c>
      <c r="R206" s="107"/>
      <c r="S206" s="16">
        <v>0.67</v>
      </c>
      <c r="T206" s="16">
        <v>0.65</v>
      </c>
    </row>
    <row r="207" spans="11:20" x14ac:dyDescent="0.35">
      <c r="K207" s="102"/>
      <c r="L207" s="102"/>
      <c r="M207" s="103"/>
      <c r="N207" s="103"/>
      <c r="O207" s="103"/>
      <c r="P207" s="103"/>
      <c r="Q207" s="104" t="s">
        <v>11</v>
      </c>
      <c r="R207" s="104"/>
      <c r="S207" s="15">
        <v>0.85</v>
      </c>
      <c r="T207" s="15">
        <v>0.8</v>
      </c>
    </row>
    <row r="208" spans="11:20" x14ac:dyDescent="0.35">
      <c r="K208" s="102" t="s">
        <v>23</v>
      </c>
      <c r="L208" s="102"/>
      <c r="M208" s="103" t="s">
        <v>94</v>
      </c>
      <c r="N208" s="103"/>
      <c r="O208" s="103"/>
      <c r="P208" s="103"/>
      <c r="Q208" s="104" t="s">
        <v>14</v>
      </c>
      <c r="R208" s="104"/>
      <c r="S208" s="16">
        <v>0.83</v>
      </c>
      <c r="T208" s="16">
        <v>0.75</v>
      </c>
    </row>
    <row r="209" spans="11:20" x14ac:dyDescent="0.35">
      <c r="K209" s="102"/>
      <c r="L209" s="102"/>
      <c r="M209" s="103"/>
      <c r="N209" s="103"/>
      <c r="O209" s="103"/>
      <c r="P209" s="103"/>
      <c r="Q209" s="105" t="s">
        <v>13</v>
      </c>
      <c r="R209" s="106"/>
      <c r="S209" s="18">
        <v>0.75</v>
      </c>
      <c r="T209" s="18">
        <v>0.74</v>
      </c>
    </row>
    <row r="210" spans="11:20" x14ac:dyDescent="0.35">
      <c r="K210" s="102"/>
      <c r="L210" s="102"/>
      <c r="M210" s="103"/>
      <c r="N210" s="103"/>
      <c r="O210" s="103"/>
      <c r="P210" s="103"/>
      <c r="Q210" s="104" t="s">
        <v>12</v>
      </c>
      <c r="R210" s="104"/>
      <c r="S210" s="31" t="s">
        <v>88</v>
      </c>
      <c r="T210" s="31" t="s">
        <v>89</v>
      </c>
    </row>
    <row r="211" spans="11:20" x14ac:dyDescent="0.35">
      <c r="K211" s="102"/>
      <c r="L211" s="102"/>
      <c r="M211" s="103"/>
      <c r="N211" s="103"/>
      <c r="O211" s="103"/>
      <c r="P211" s="103"/>
      <c r="Q211" s="107" t="s">
        <v>21</v>
      </c>
      <c r="R211" s="107"/>
      <c r="S211" s="32">
        <v>0.85</v>
      </c>
      <c r="T211" s="32" t="s">
        <v>31</v>
      </c>
    </row>
    <row r="212" spans="11:20" x14ac:dyDescent="0.35">
      <c r="K212" s="102"/>
      <c r="L212" s="102"/>
      <c r="M212" s="103"/>
      <c r="N212" s="103"/>
      <c r="O212" s="103"/>
      <c r="P212" s="103"/>
      <c r="Q212" s="104" t="s">
        <v>11</v>
      </c>
      <c r="R212" s="104"/>
      <c r="S212" s="15">
        <v>0.86</v>
      </c>
      <c r="T212" s="15">
        <v>0.83</v>
      </c>
    </row>
    <row r="213" spans="11:20" x14ac:dyDescent="0.35">
      <c r="K213" s="102" t="s">
        <v>18</v>
      </c>
      <c r="L213" s="102"/>
      <c r="M213" s="103" t="s">
        <v>95</v>
      </c>
      <c r="N213" s="103"/>
      <c r="O213" s="103"/>
      <c r="P213" s="103"/>
      <c r="Q213" s="104" t="s">
        <v>14</v>
      </c>
      <c r="R213" s="104"/>
      <c r="S213" s="33"/>
      <c r="T213" s="33"/>
    </row>
    <row r="214" spans="11:20" x14ac:dyDescent="0.35">
      <c r="K214" s="102"/>
      <c r="L214" s="102"/>
      <c r="M214" s="103"/>
      <c r="N214" s="103"/>
      <c r="O214" s="103"/>
      <c r="P214" s="103"/>
      <c r="Q214" s="105" t="s">
        <v>13</v>
      </c>
      <c r="R214" s="106"/>
      <c r="S214" s="21"/>
      <c r="T214" s="21"/>
    </row>
    <row r="215" spans="11:20" x14ac:dyDescent="0.35">
      <c r="K215" s="102"/>
      <c r="L215" s="102"/>
      <c r="M215" s="103"/>
      <c r="N215" s="103"/>
      <c r="O215" s="103"/>
      <c r="P215" s="103"/>
      <c r="Q215" s="104" t="s">
        <v>12</v>
      </c>
      <c r="R215" s="104"/>
      <c r="S215" s="20"/>
      <c r="T215" s="22"/>
    </row>
    <row r="216" spans="11:20" x14ac:dyDescent="0.35">
      <c r="K216" s="102"/>
      <c r="L216" s="102"/>
      <c r="M216" s="103"/>
      <c r="N216" s="103"/>
      <c r="O216" s="103"/>
      <c r="P216" s="103"/>
      <c r="Q216" s="107" t="s">
        <v>21</v>
      </c>
      <c r="R216" s="107"/>
      <c r="S216" s="21"/>
      <c r="T216" s="21"/>
    </row>
    <row r="217" spans="11:20" x14ac:dyDescent="0.35">
      <c r="K217" s="102"/>
      <c r="L217" s="102"/>
      <c r="M217" s="103"/>
      <c r="N217" s="103"/>
      <c r="O217" s="103"/>
      <c r="P217" s="103"/>
      <c r="Q217" s="104" t="s">
        <v>11</v>
      </c>
      <c r="R217" s="104"/>
      <c r="S217" s="20"/>
      <c r="T217" s="20"/>
    </row>
    <row r="218" spans="11:20" x14ac:dyDescent="0.35">
      <c r="K218" s="102" t="s">
        <v>20</v>
      </c>
      <c r="L218" s="102"/>
      <c r="M218" s="103" t="s">
        <v>96</v>
      </c>
      <c r="N218" s="103"/>
      <c r="O218" s="103"/>
      <c r="P218" s="103"/>
      <c r="Q218" s="104" t="s">
        <v>14</v>
      </c>
      <c r="R218" s="104"/>
      <c r="S218" s="24">
        <v>0.73</v>
      </c>
      <c r="T218" s="24">
        <v>0.75</v>
      </c>
    </row>
    <row r="219" spans="11:20" x14ac:dyDescent="0.35">
      <c r="K219" s="102"/>
      <c r="L219" s="102"/>
      <c r="M219" s="103"/>
      <c r="N219" s="103"/>
      <c r="O219" s="103"/>
      <c r="P219" s="103"/>
      <c r="Q219" s="105" t="s">
        <v>13</v>
      </c>
      <c r="R219" s="106"/>
      <c r="S219" s="25">
        <v>0.76</v>
      </c>
      <c r="T219" s="26">
        <v>0.74</v>
      </c>
    </row>
    <row r="220" spans="11:20" x14ac:dyDescent="0.35">
      <c r="K220" s="102"/>
      <c r="L220" s="102"/>
      <c r="M220" s="103"/>
      <c r="N220" s="103"/>
      <c r="O220" s="103"/>
      <c r="P220" s="103"/>
      <c r="Q220" s="104" t="s">
        <v>12</v>
      </c>
      <c r="R220" s="104"/>
      <c r="S220" s="24">
        <v>0.82</v>
      </c>
      <c r="T220" s="24">
        <v>0.74</v>
      </c>
    </row>
    <row r="221" spans="11:20" x14ac:dyDescent="0.35">
      <c r="K221" s="102"/>
      <c r="L221" s="102"/>
      <c r="M221" s="103"/>
      <c r="N221" s="103"/>
      <c r="O221" s="103"/>
      <c r="P221" s="103"/>
      <c r="Q221" s="107" t="s">
        <v>21</v>
      </c>
      <c r="R221" s="107"/>
      <c r="S221" s="16">
        <v>0.64</v>
      </c>
      <c r="T221" s="16">
        <v>0.65</v>
      </c>
    </row>
    <row r="222" spans="11:20" x14ac:dyDescent="0.35">
      <c r="K222" s="102"/>
      <c r="L222" s="102"/>
      <c r="M222" s="103"/>
      <c r="N222" s="103"/>
      <c r="O222" s="103"/>
      <c r="P222" s="103"/>
      <c r="Q222" s="104" t="s">
        <v>11</v>
      </c>
      <c r="R222" s="104"/>
      <c r="S222" s="15">
        <v>0.78</v>
      </c>
      <c r="T222" s="17">
        <v>0.73</v>
      </c>
    </row>
    <row r="223" spans="11:20" x14ac:dyDescent="0.35">
      <c r="K223" s="102" t="s">
        <v>22</v>
      </c>
      <c r="L223" s="102"/>
      <c r="M223" s="103" t="s">
        <v>97</v>
      </c>
      <c r="N223" s="103"/>
      <c r="O223" s="103"/>
      <c r="P223" s="103"/>
      <c r="Q223" s="104" t="s">
        <v>14</v>
      </c>
      <c r="R223" s="104"/>
      <c r="S223" s="23">
        <v>0.73</v>
      </c>
      <c r="T223" s="23">
        <v>0.75</v>
      </c>
    </row>
    <row r="224" spans="11:20" x14ac:dyDescent="0.35">
      <c r="K224" s="102"/>
      <c r="L224" s="102"/>
      <c r="M224" s="103"/>
      <c r="N224" s="103"/>
      <c r="O224" s="103"/>
      <c r="P224" s="103"/>
      <c r="Q224" s="105" t="s">
        <v>13</v>
      </c>
      <c r="R224" s="106"/>
      <c r="S224" s="16">
        <v>0.75</v>
      </c>
      <c r="T224" s="16">
        <v>0.73</v>
      </c>
    </row>
    <row r="225" spans="11:20" x14ac:dyDescent="0.35">
      <c r="K225" s="102"/>
      <c r="L225" s="102"/>
      <c r="M225" s="103"/>
      <c r="N225" s="103"/>
      <c r="O225" s="103"/>
      <c r="P225" s="103"/>
      <c r="Q225" s="104" t="s">
        <v>12</v>
      </c>
      <c r="R225" s="104"/>
      <c r="S225" s="15">
        <v>0.82</v>
      </c>
      <c r="T225" s="15">
        <v>0.74</v>
      </c>
    </row>
    <row r="226" spans="11:20" x14ac:dyDescent="0.35">
      <c r="K226" s="102"/>
      <c r="L226" s="102"/>
      <c r="M226" s="103"/>
      <c r="N226" s="103"/>
      <c r="O226" s="103"/>
      <c r="P226" s="103"/>
      <c r="Q226" s="107" t="s">
        <v>21</v>
      </c>
      <c r="R226" s="107"/>
      <c r="S226" s="16">
        <v>0.64</v>
      </c>
      <c r="T226" s="16">
        <v>0.65</v>
      </c>
    </row>
    <row r="227" spans="11:20" x14ac:dyDescent="0.35">
      <c r="K227" s="102"/>
      <c r="L227" s="102"/>
      <c r="M227" s="103"/>
      <c r="N227" s="103"/>
      <c r="O227" s="103"/>
      <c r="P227" s="103"/>
      <c r="Q227" s="104" t="s">
        <v>11</v>
      </c>
      <c r="R227" s="104"/>
      <c r="S227" s="15">
        <v>0.78</v>
      </c>
      <c r="T227" s="15">
        <v>0.73</v>
      </c>
    </row>
    <row r="228" spans="11:20" x14ac:dyDescent="0.35">
      <c r="K228" s="102" t="s">
        <v>23</v>
      </c>
      <c r="L228" s="102"/>
      <c r="M228" s="103" t="s">
        <v>98</v>
      </c>
      <c r="N228" s="103"/>
      <c r="O228" s="103"/>
      <c r="P228" s="103"/>
      <c r="Q228" s="104" t="s">
        <v>14</v>
      </c>
      <c r="R228" s="104"/>
      <c r="S228" s="15" t="s">
        <v>76</v>
      </c>
      <c r="T228" s="15" t="s">
        <v>77</v>
      </c>
    </row>
    <row r="229" spans="11:20" x14ac:dyDescent="0.35">
      <c r="K229" s="102"/>
      <c r="L229" s="102"/>
      <c r="M229" s="103"/>
      <c r="N229" s="103"/>
      <c r="O229" s="103"/>
      <c r="P229" s="103"/>
      <c r="Q229" s="105" t="s">
        <v>13</v>
      </c>
      <c r="R229" s="106"/>
      <c r="S229" s="16" t="s">
        <v>53</v>
      </c>
      <c r="T229" s="16" t="s">
        <v>63</v>
      </c>
    </row>
    <row r="230" spans="11:20" x14ac:dyDescent="0.35">
      <c r="K230" s="102"/>
      <c r="L230" s="102"/>
      <c r="M230" s="103"/>
      <c r="N230" s="103"/>
      <c r="O230" s="103"/>
      <c r="P230" s="103"/>
      <c r="Q230" s="104" t="s">
        <v>12</v>
      </c>
      <c r="R230" s="104"/>
      <c r="S230" s="15" t="s">
        <v>76</v>
      </c>
      <c r="T230" s="17" t="s">
        <v>41</v>
      </c>
    </row>
    <row r="231" spans="11:20" x14ac:dyDescent="0.35">
      <c r="K231" s="102"/>
      <c r="L231" s="102"/>
      <c r="M231" s="103"/>
      <c r="N231" s="103"/>
      <c r="O231" s="103"/>
      <c r="P231" s="103"/>
      <c r="Q231" s="107" t="s">
        <v>21</v>
      </c>
      <c r="R231" s="107"/>
      <c r="S231" s="16" t="s">
        <v>79</v>
      </c>
      <c r="T231" s="16" t="s">
        <v>80</v>
      </c>
    </row>
    <row r="232" spans="11:20" x14ac:dyDescent="0.35">
      <c r="K232" s="102"/>
      <c r="L232" s="102"/>
      <c r="M232" s="103"/>
      <c r="N232" s="103"/>
      <c r="O232" s="103"/>
      <c r="P232" s="103"/>
      <c r="Q232" s="104" t="s">
        <v>11</v>
      </c>
      <c r="R232" s="104"/>
      <c r="S232" s="15" t="s">
        <v>59</v>
      </c>
      <c r="T232" s="15" t="s">
        <v>77</v>
      </c>
    </row>
    <row r="233" spans="11:20" x14ac:dyDescent="0.35">
      <c r="K233" s="102" t="s">
        <v>18</v>
      </c>
      <c r="L233" s="102"/>
      <c r="M233" s="103" t="s">
        <v>99</v>
      </c>
      <c r="N233" s="103"/>
      <c r="O233" s="103"/>
      <c r="P233" s="103"/>
      <c r="Q233" s="104" t="s">
        <v>14</v>
      </c>
      <c r="R233" s="104"/>
      <c r="S233" s="28">
        <v>0.83</v>
      </c>
      <c r="T233" s="28">
        <v>0.82</v>
      </c>
    </row>
    <row r="234" spans="11:20" x14ac:dyDescent="0.35">
      <c r="K234" s="102"/>
      <c r="L234" s="102"/>
      <c r="M234" s="103"/>
      <c r="N234" s="103"/>
      <c r="O234" s="103"/>
      <c r="P234" s="103"/>
      <c r="Q234" s="105" t="s">
        <v>13</v>
      </c>
      <c r="R234" s="106"/>
      <c r="S234" s="25">
        <v>0.83</v>
      </c>
      <c r="T234" s="25">
        <v>0.79</v>
      </c>
    </row>
    <row r="235" spans="11:20" x14ac:dyDescent="0.35">
      <c r="K235" s="102"/>
      <c r="L235" s="102"/>
      <c r="M235" s="103"/>
      <c r="N235" s="103"/>
      <c r="O235" s="103"/>
      <c r="P235" s="103"/>
      <c r="Q235" s="104" t="s">
        <v>12</v>
      </c>
      <c r="R235" s="104"/>
      <c r="S235" s="24">
        <v>0.84</v>
      </c>
      <c r="T235" s="24">
        <v>0.82</v>
      </c>
    </row>
    <row r="236" spans="11:20" x14ac:dyDescent="0.35">
      <c r="K236" s="102"/>
      <c r="L236" s="102"/>
      <c r="M236" s="103"/>
      <c r="N236" s="103"/>
      <c r="O236" s="103"/>
      <c r="P236" s="103"/>
      <c r="Q236" s="107" t="s">
        <v>21</v>
      </c>
      <c r="R236" s="107"/>
      <c r="S236" s="25">
        <v>0.74</v>
      </c>
      <c r="T236" s="25">
        <v>0.75</v>
      </c>
    </row>
    <row r="237" spans="11:20" x14ac:dyDescent="0.35">
      <c r="K237" s="102"/>
      <c r="L237" s="102"/>
      <c r="M237" s="103"/>
      <c r="N237" s="103"/>
      <c r="O237" s="103"/>
      <c r="P237" s="103"/>
      <c r="Q237" s="104" t="s">
        <v>11</v>
      </c>
      <c r="R237" s="104"/>
      <c r="S237" s="24">
        <v>0.83</v>
      </c>
      <c r="T237" s="27">
        <v>0.83</v>
      </c>
    </row>
    <row r="238" spans="11:20" x14ac:dyDescent="0.35">
      <c r="K238" s="102" t="s">
        <v>20</v>
      </c>
      <c r="L238" s="102"/>
      <c r="M238" s="103" t="s">
        <v>100</v>
      </c>
      <c r="N238" s="103"/>
      <c r="O238" s="103"/>
      <c r="P238" s="103"/>
      <c r="Q238" s="104" t="s">
        <v>14</v>
      </c>
      <c r="R238" s="104"/>
      <c r="S238" s="23">
        <v>0.87</v>
      </c>
      <c r="T238" s="23">
        <v>0.82</v>
      </c>
    </row>
    <row r="239" spans="11:20" x14ac:dyDescent="0.35">
      <c r="K239" s="102"/>
      <c r="L239" s="102"/>
      <c r="M239" s="103"/>
      <c r="N239" s="103"/>
      <c r="O239" s="103"/>
      <c r="P239" s="103"/>
      <c r="Q239" s="105" t="s">
        <v>13</v>
      </c>
      <c r="R239" s="106"/>
      <c r="S239" s="16">
        <v>0.85</v>
      </c>
      <c r="T239" s="16">
        <v>0.81</v>
      </c>
    </row>
    <row r="240" spans="11:20" x14ac:dyDescent="0.35">
      <c r="K240" s="102"/>
      <c r="L240" s="102"/>
      <c r="M240" s="103"/>
      <c r="N240" s="103"/>
      <c r="O240" s="103"/>
      <c r="P240" s="103"/>
      <c r="Q240" s="104" t="s">
        <v>12</v>
      </c>
      <c r="R240" s="104"/>
      <c r="S240" s="15">
        <v>0.89</v>
      </c>
      <c r="T240" s="15">
        <v>0.82</v>
      </c>
    </row>
    <row r="241" spans="11:20" x14ac:dyDescent="0.35">
      <c r="K241" s="102"/>
      <c r="L241" s="102"/>
      <c r="M241" s="103"/>
      <c r="N241" s="103"/>
      <c r="O241" s="103"/>
      <c r="P241" s="103"/>
      <c r="Q241" s="107" t="s">
        <v>21</v>
      </c>
      <c r="R241" s="107"/>
      <c r="S241" s="16">
        <v>0.76</v>
      </c>
      <c r="T241" s="16">
        <v>0.77</v>
      </c>
    </row>
    <row r="242" spans="11:20" x14ac:dyDescent="0.35">
      <c r="K242" s="102"/>
      <c r="L242" s="102"/>
      <c r="M242" s="103"/>
      <c r="N242" s="103"/>
      <c r="O242" s="103"/>
      <c r="P242" s="103"/>
      <c r="Q242" s="104" t="s">
        <v>11</v>
      </c>
      <c r="R242" s="104"/>
      <c r="S242" s="15">
        <v>0.87</v>
      </c>
      <c r="T242" s="17">
        <v>0.83</v>
      </c>
    </row>
    <row r="243" spans="11:20" x14ac:dyDescent="0.35">
      <c r="K243" s="102" t="s">
        <v>22</v>
      </c>
      <c r="L243" s="102"/>
      <c r="M243" s="103" t="s">
        <v>101</v>
      </c>
      <c r="N243" s="103"/>
      <c r="O243" s="103"/>
      <c r="P243" s="103"/>
      <c r="Q243" s="104" t="s">
        <v>14</v>
      </c>
      <c r="R243" s="104"/>
      <c r="S243" s="15">
        <v>0.87</v>
      </c>
      <c r="T243" s="15">
        <v>0.82</v>
      </c>
    </row>
    <row r="244" spans="11:20" x14ac:dyDescent="0.35">
      <c r="K244" s="102"/>
      <c r="L244" s="102"/>
      <c r="M244" s="103"/>
      <c r="N244" s="103"/>
      <c r="O244" s="103"/>
      <c r="P244" s="103"/>
      <c r="Q244" s="105" t="s">
        <v>13</v>
      </c>
      <c r="R244" s="106"/>
      <c r="S244" s="16">
        <v>0.85</v>
      </c>
      <c r="T244" s="16">
        <v>0.81</v>
      </c>
    </row>
    <row r="245" spans="11:20" x14ac:dyDescent="0.35">
      <c r="K245" s="102"/>
      <c r="L245" s="102"/>
      <c r="M245" s="103"/>
      <c r="N245" s="103"/>
      <c r="O245" s="103"/>
      <c r="P245" s="103"/>
      <c r="Q245" s="104" t="s">
        <v>12</v>
      </c>
      <c r="R245" s="104"/>
      <c r="S245" s="15">
        <v>0.89</v>
      </c>
      <c r="T245" s="15">
        <v>0.82</v>
      </c>
    </row>
    <row r="246" spans="11:20" x14ac:dyDescent="0.35">
      <c r="K246" s="102"/>
      <c r="L246" s="102"/>
      <c r="M246" s="103"/>
      <c r="N246" s="103"/>
      <c r="O246" s="103"/>
      <c r="P246" s="103"/>
      <c r="Q246" s="107" t="s">
        <v>21</v>
      </c>
      <c r="R246" s="107"/>
      <c r="S246" s="16">
        <v>0.76</v>
      </c>
      <c r="T246" s="16">
        <v>0.77</v>
      </c>
    </row>
    <row r="247" spans="11:20" x14ac:dyDescent="0.35">
      <c r="K247" s="102"/>
      <c r="L247" s="102"/>
      <c r="M247" s="103"/>
      <c r="N247" s="103"/>
      <c r="O247" s="103"/>
      <c r="P247" s="103"/>
      <c r="Q247" s="104" t="s">
        <v>11</v>
      </c>
      <c r="R247" s="104"/>
      <c r="S247" s="15">
        <v>0.87</v>
      </c>
      <c r="T247" s="15">
        <v>0.83</v>
      </c>
    </row>
    <row r="248" spans="11:20" x14ac:dyDescent="0.35">
      <c r="K248" s="102" t="s">
        <v>23</v>
      </c>
      <c r="L248" s="102"/>
      <c r="M248" s="103" t="s">
        <v>102</v>
      </c>
      <c r="N248" s="103"/>
      <c r="O248" s="103"/>
      <c r="P248" s="103"/>
      <c r="Q248" s="104" t="s">
        <v>14</v>
      </c>
      <c r="R248" s="104"/>
      <c r="S248" s="30">
        <v>0.96</v>
      </c>
      <c r="T248" s="30">
        <v>0.81</v>
      </c>
    </row>
    <row r="249" spans="11:20" x14ac:dyDescent="0.35">
      <c r="K249" s="102"/>
      <c r="L249" s="102"/>
      <c r="M249" s="103"/>
      <c r="N249" s="103"/>
      <c r="O249" s="103"/>
      <c r="P249" s="103"/>
      <c r="Q249" s="105" t="s">
        <v>13</v>
      </c>
      <c r="R249" s="106"/>
      <c r="S249" s="25">
        <v>0.85</v>
      </c>
      <c r="T249" s="26">
        <v>0.83</v>
      </c>
    </row>
    <row r="250" spans="11:20" x14ac:dyDescent="0.35">
      <c r="K250" s="102"/>
      <c r="L250" s="102"/>
      <c r="M250" s="103"/>
      <c r="N250" s="103"/>
      <c r="O250" s="103"/>
      <c r="P250" s="103"/>
      <c r="Q250" s="104" t="s">
        <v>12</v>
      </c>
      <c r="R250" s="104"/>
      <c r="S250" s="24">
        <v>0.84</v>
      </c>
      <c r="T250" s="24" t="s">
        <v>47</v>
      </c>
    </row>
    <row r="251" spans="11:20" x14ac:dyDescent="0.35">
      <c r="K251" s="102"/>
      <c r="L251" s="102"/>
      <c r="M251" s="103"/>
      <c r="N251" s="103"/>
      <c r="O251" s="103"/>
      <c r="P251" s="103"/>
      <c r="Q251" s="107" t="s">
        <v>21</v>
      </c>
      <c r="R251" s="107"/>
      <c r="S251" s="25">
        <v>0.71</v>
      </c>
      <c r="T251" s="25" t="s">
        <v>75</v>
      </c>
    </row>
    <row r="252" spans="11:20" x14ac:dyDescent="0.35">
      <c r="K252" s="102"/>
      <c r="L252" s="102"/>
      <c r="M252" s="103"/>
      <c r="N252" s="103"/>
      <c r="O252" s="103"/>
      <c r="P252" s="103"/>
      <c r="Q252" s="104" t="s">
        <v>11</v>
      </c>
      <c r="R252" s="104"/>
      <c r="S252" s="24" t="s">
        <v>37</v>
      </c>
      <c r="T252" s="27" t="s">
        <v>64</v>
      </c>
    </row>
    <row r="262" spans="28:36" ht="15" thickBot="1" x14ac:dyDescent="0.4"/>
    <row r="263" spans="28:36" ht="15" thickBot="1" x14ac:dyDescent="0.4">
      <c r="AC263" s="85" t="s">
        <v>110</v>
      </c>
      <c r="AD263" s="86"/>
      <c r="AE263" s="87" t="s">
        <v>7</v>
      </c>
      <c r="AF263" s="86"/>
      <c r="AG263" s="87" t="s">
        <v>111</v>
      </c>
      <c r="AH263" s="86"/>
      <c r="AI263" s="87" t="s">
        <v>8</v>
      </c>
      <c r="AJ263" s="86"/>
    </row>
    <row r="264" spans="28:36" ht="15" thickBot="1" x14ac:dyDescent="0.4">
      <c r="AC264" s="37" t="s">
        <v>5</v>
      </c>
      <c r="AD264" s="37" t="s">
        <v>6</v>
      </c>
      <c r="AE264" s="37" t="s">
        <v>5</v>
      </c>
      <c r="AF264" s="37" t="s">
        <v>6</v>
      </c>
      <c r="AG264" s="37" t="s">
        <v>5</v>
      </c>
      <c r="AH264" s="37" t="s">
        <v>6</v>
      </c>
      <c r="AI264" s="37" t="s">
        <v>5</v>
      </c>
      <c r="AJ264" s="37" t="s">
        <v>6</v>
      </c>
    </row>
    <row r="265" spans="28:36" ht="15" thickBot="1" x14ac:dyDescent="0.4">
      <c r="AB265" t="s">
        <v>129</v>
      </c>
      <c r="AC265" s="59">
        <v>0.83</v>
      </c>
      <c r="AD265" s="59">
        <v>0.74</v>
      </c>
      <c r="AE265" s="59">
        <v>0.92</v>
      </c>
      <c r="AF265" s="59">
        <v>0.87</v>
      </c>
      <c r="AG265" s="59">
        <v>0.85</v>
      </c>
      <c r="AH265" s="59">
        <v>0.79</v>
      </c>
      <c r="AI265" s="59">
        <v>0.8</v>
      </c>
      <c r="AJ265" s="65">
        <v>0.74</v>
      </c>
    </row>
    <row r="266" spans="28:36" ht="15" thickBot="1" x14ac:dyDescent="0.4">
      <c r="AB266" t="s">
        <v>117</v>
      </c>
      <c r="AC266" s="41">
        <v>0.86</v>
      </c>
      <c r="AD266" s="45">
        <v>0.84</v>
      </c>
      <c r="AE266" s="41">
        <v>0.91</v>
      </c>
      <c r="AF266" s="41">
        <v>0.89</v>
      </c>
      <c r="AG266" s="41">
        <v>0.88</v>
      </c>
      <c r="AH266" s="41">
        <v>0.88</v>
      </c>
      <c r="AI266" s="41">
        <v>0.83</v>
      </c>
      <c r="AJ266" s="45">
        <v>0.8</v>
      </c>
    </row>
    <row r="269" spans="28:36" ht="15" thickBot="1" x14ac:dyDescent="0.4"/>
    <row r="270" spans="28:36" ht="15" thickBot="1" x14ac:dyDescent="0.4">
      <c r="AF270" s="87" t="s">
        <v>8</v>
      </c>
      <c r="AG270" s="86"/>
    </row>
    <row r="271" spans="28:36" ht="15" thickBot="1" x14ac:dyDescent="0.4">
      <c r="AF271" s="37" t="s">
        <v>5</v>
      </c>
      <c r="AG271" s="37" t="s">
        <v>6</v>
      </c>
    </row>
    <row r="272" spans="28:36" ht="15" thickBot="1" x14ac:dyDescent="0.4">
      <c r="AE272" t="s">
        <v>129</v>
      </c>
      <c r="AF272" s="59">
        <v>0.8</v>
      </c>
      <c r="AG272" s="65">
        <v>0.74</v>
      </c>
    </row>
    <row r="273" spans="25:47" ht="15" thickBot="1" x14ac:dyDescent="0.4">
      <c r="AE273" t="s">
        <v>117</v>
      </c>
      <c r="AF273" s="41">
        <v>0.83</v>
      </c>
      <c r="AG273" s="45">
        <v>0.8</v>
      </c>
    </row>
    <row r="274" spans="25:47" ht="15" thickBot="1" x14ac:dyDescent="0.4"/>
    <row r="275" spans="25:47" ht="15" thickBot="1" x14ac:dyDescent="0.4">
      <c r="AK275" s="34" t="s">
        <v>0</v>
      </c>
      <c r="AL275" s="35" t="s">
        <v>108</v>
      </c>
      <c r="AM275" s="36" t="s">
        <v>10</v>
      </c>
      <c r="AN275" s="88" t="s">
        <v>109</v>
      </c>
      <c r="AO275" s="89"/>
      <c r="AP275" s="89"/>
      <c r="AQ275" s="89"/>
      <c r="AR275" s="89"/>
      <c r="AS275" s="89"/>
      <c r="AT275" s="89"/>
      <c r="AU275" s="90"/>
    </row>
    <row r="276" spans="25:47" ht="15" thickBot="1" x14ac:dyDescent="0.4">
      <c r="AA276" s="85" t="s">
        <v>110</v>
      </c>
      <c r="AB276" s="86"/>
      <c r="AC276" s="87" t="s">
        <v>7</v>
      </c>
      <c r="AD276" s="86"/>
      <c r="AE276" s="87" t="s">
        <v>111</v>
      </c>
      <c r="AF276" s="86"/>
      <c r="AG276" s="87" t="s">
        <v>8</v>
      </c>
      <c r="AH276" s="86"/>
      <c r="AK276" s="91"/>
      <c r="AL276" s="91"/>
      <c r="AM276" s="91"/>
      <c r="AN276" s="85" t="s">
        <v>110</v>
      </c>
      <c r="AO276" s="86"/>
      <c r="AP276" s="87" t="s">
        <v>7</v>
      </c>
      <c r="AQ276" s="86"/>
      <c r="AR276" s="87" t="s">
        <v>111</v>
      </c>
      <c r="AS276" s="86"/>
      <c r="AT276" s="87" t="s">
        <v>8</v>
      </c>
      <c r="AU276" s="86"/>
    </row>
    <row r="277" spans="25:47" ht="15" thickBot="1" x14ac:dyDescent="0.4">
      <c r="AA277" s="37" t="s">
        <v>5</v>
      </c>
      <c r="AB277" s="37" t="s">
        <v>6</v>
      </c>
      <c r="AC277" s="37" t="s">
        <v>5</v>
      </c>
      <c r="AD277" s="37" t="s">
        <v>6</v>
      </c>
      <c r="AE277" s="37" t="s">
        <v>5</v>
      </c>
      <c r="AF277" s="37" t="s">
        <v>6</v>
      </c>
      <c r="AG277" s="37" t="s">
        <v>5</v>
      </c>
      <c r="AH277" s="37" t="s">
        <v>6</v>
      </c>
      <c r="AK277" s="92"/>
      <c r="AL277" s="92"/>
      <c r="AM277" s="92"/>
      <c r="AN277" s="37" t="s">
        <v>5</v>
      </c>
      <c r="AO277" s="37" t="s">
        <v>6</v>
      </c>
      <c r="AP277" s="37" t="s">
        <v>5</v>
      </c>
      <c r="AQ277" s="37" t="s">
        <v>6</v>
      </c>
      <c r="AR277" s="37" t="s">
        <v>5</v>
      </c>
      <c r="AS277" s="37" t="s">
        <v>6</v>
      </c>
      <c r="AT277" s="37" t="s">
        <v>5</v>
      </c>
      <c r="AU277" s="37" t="s">
        <v>6</v>
      </c>
    </row>
    <row r="278" spans="25:47" ht="15" thickBot="1" x14ac:dyDescent="0.4">
      <c r="Z278" t="s">
        <v>129</v>
      </c>
      <c r="AA278" s="59" t="s">
        <v>53</v>
      </c>
      <c r="AB278" s="59" t="s">
        <v>63</v>
      </c>
      <c r="AC278" s="59" t="s">
        <v>48</v>
      </c>
      <c r="AD278" s="59" t="s">
        <v>35</v>
      </c>
      <c r="AE278" s="59">
        <v>0.85</v>
      </c>
      <c r="AF278" s="59" t="s">
        <v>40</v>
      </c>
      <c r="AG278" s="59" t="s">
        <v>60</v>
      </c>
      <c r="AH278" s="65" t="s">
        <v>63</v>
      </c>
      <c r="AK278" s="73" t="s">
        <v>66</v>
      </c>
      <c r="AL278" s="76" t="s">
        <v>122</v>
      </c>
      <c r="AM278" s="39" t="s">
        <v>14</v>
      </c>
      <c r="AN278" s="44">
        <v>0.68</v>
      </c>
      <c r="AO278" s="44">
        <v>0.72</v>
      </c>
      <c r="AP278" s="44">
        <v>1</v>
      </c>
      <c r="AQ278" s="44">
        <v>0.5</v>
      </c>
      <c r="AR278" s="44">
        <v>0.68</v>
      </c>
      <c r="AS278" s="44">
        <v>0.72</v>
      </c>
      <c r="AT278" s="44">
        <v>0.41</v>
      </c>
      <c r="AU278" s="44">
        <v>0.42</v>
      </c>
    </row>
    <row r="279" spans="25:47" ht="15" thickBot="1" x14ac:dyDescent="0.4">
      <c r="Z279" t="s">
        <v>128</v>
      </c>
      <c r="AA279" s="58">
        <v>0.78</v>
      </c>
      <c r="AB279" s="58">
        <v>0.73</v>
      </c>
      <c r="AC279" s="58">
        <v>0.94</v>
      </c>
      <c r="AD279" s="58">
        <v>0.88</v>
      </c>
      <c r="AE279" s="63">
        <v>0.78</v>
      </c>
      <c r="AF279" s="63">
        <v>0.78</v>
      </c>
      <c r="AG279" s="64">
        <v>0.78</v>
      </c>
      <c r="AH279" s="64">
        <v>0.73</v>
      </c>
      <c r="AK279" s="74"/>
      <c r="AL279" s="77"/>
      <c r="AM279" s="40" t="s">
        <v>13</v>
      </c>
      <c r="AN279" s="53">
        <v>0.69</v>
      </c>
      <c r="AO279" s="53">
        <v>0.72</v>
      </c>
      <c r="AP279" s="53">
        <v>1</v>
      </c>
      <c r="AQ279" s="53">
        <v>0.51</v>
      </c>
      <c r="AR279" s="53">
        <v>0.69</v>
      </c>
      <c r="AS279" s="53">
        <v>0.72</v>
      </c>
      <c r="AT279" s="53">
        <v>0.43</v>
      </c>
      <c r="AU279" s="53">
        <v>0.42</v>
      </c>
    </row>
    <row r="280" spans="25:47" ht="15" thickBot="1" x14ac:dyDescent="0.4">
      <c r="Z280" t="s">
        <v>127</v>
      </c>
      <c r="AA280" s="59">
        <v>0.76</v>
      </c>
      <c r="AB280" s="60">
        <v>0.74</v>
      </c>
      <c r="AC280" s="59">
        <v>0.9</v>
      </c>
      <c r="AD280" s="59">
        <v>0.89</v>
      </c>
      <c r="AE280" s="59">
        <v>0.78</v>
      </c>
      <c r="AF280" s="59">
        <v>0.78</v>
      </c>
      <c r="AG280" s="59">
        <v>0.69</v>
      </c>
      <c r="AH280" s="59">
        <v>0.63</v>
      </c>
      <c r="AK280" s="74"/>
      <c r="AL280" s="77"/>
      <c r="AM280" s="39" t="s">
        <v>12</v>
      </c>
      <c r="AN280" s="54">
        <v>0.68</v>
      </c>
      <c r="AO280" s="44">
        <v>0.72</v>
      </c>
      <c r="AP280" s="44">
        <v>1</v>
      </c>
      <c r="AQ280" s="44">
        <v>0.5</v>
      </c>
      <c r="AR280" s="44">
        <v>0.68</v>
      </c>
      <c r="AS280" s="44">
        <v>0.72</v>
      </c>
      <c r="AT280" s="44">
        <v>0.41</v>
      </c>
      <c r="AU280" s="44">
        <v>0.42</v>
      </c>
    </row>
    <row r="281" spans="25:47" ht="15" thickBot="1" x14ac:dyDescent="0.4">
      <c r="Z281" t="s">
        <v>130</v>
      </c>
      <c r="AA281" s="67">
        <v>0.78</v>
      </c>
      <c r="AB281" s="67">
        <v>0.74</v>
      </c>
      <c r="AC281" s="68">
        <v>0.92</v>
      </c>
      <c r="AD281" s="68">
        <v>0.89</v>
      </c>
      <c r="AE281" s="68">
        <v>0.79</v>
      </c>
      <c r="AF281" s="68">
        <v>0.78</v>
      </c>
      <c r="AG281" s="67">
        <v>0.72</v>
      </c>
      <c r="AH281" s="67">
        <v>0.63</v>
      </c>
      <c r="AK281" s="74"/>
      <c r="AL281" s="77"/>
      <c r="AM281" s="41" t="s">
        <v>113</v>
      </c>
      <c r="AN281" s="55">
        <v>0.68</v>
      </c>
      <c r="AO281" s="53">
        <v>0.72</v>
      </c>
      <c r="AP281" s="53">
        <v>1</v>
      </c>
      <c r="AQ281" s="53">
        <v>0.5</v>
      </c>
      <c r="AR281" s="56">
        <v>0.68</v>
      </c>
      <c r="AS281" s="56">
        <v>0.72</v>
      </c>
      <c r="AT281" s="56">
        <v>0.41</v>
      </c>
      <c r="AU281" s="56">
        <v>0.42</v>
      </c>
    </row>
    <row r="282" spans="25:47" ht="15" thickBot="1" x14ac:dyDescent="0.4">
      <c r="Y282" t="s">
        <v>131</v>
      </c>
      <c r="Z282" t="s">
        <v>126</v>
      </c>
      <c r="AA282" s="53">
        <v>0.69</v>
      </c>
      <c r="AB282" s="53">
        <v>0.72</v>
      </c>
      <c r="AC282" s="53">
        <v>1</v>
      </c>
      <c r="AD282" s="53">
        <v>0.51</v>
      </c>
      <c r="AE282" s="53">
        <v>0.69</v>
      </c>
      <c r="AF282" s="53">
        <v>0.72</v>
      </c>
      <c r="AG282" s="53">
        <v>0.43</v>
      </c>
      <c r="AH282" s="53">
        <v>0.42</v>
      </c>
      <c r="AK282" s="74"/>
      <c r="AL282" s="78"/>
      <c r="AM282" s="39" t="s">
        <v>11</v>
      </c>
      <c r="AN282" s="44">
        <v>0.32</v>
      </c>
      <c r="AO282" s="44">
        <v>0.28000000000000003</v>
      </c>
      <c r="AP282" s="44">
        <v>0.1</v>
      </c>
      <c r="AQ282" s="44">
        <v>0.09</v>
      </c>
      <c r="AR282" s="57">
        <v>0.09</v>
      </c>
      <c r="AS282" s="57">
        <v>0.1</v>
      </c>
      <c r="AT282" s="57">
        <v>0.24</v>
      </c>
      <c r="AU282" s="57">
        <v>0.22</v>
      </c>
    </row>
    <row r="283" spans="25:47" ht="15" thickBot="1" x14ac:dyDescent="0.4">
      <c r="AK283" s="74"/>
      <c r="AL283" s="76" t="s">
        <v>123</v>
      </c>
      <c r="AM283" s="39" t="s">
        <v>14</v>
      </c>
      <c r="AN283" s="58">
        <v>0.73</v>
      </c>
      <c r="AO283" s="58">
        <v>0.75</v>
      </c>
      <c r="AP283" s="58">
        <v>0.95</v>
      </c>
      <c r="AQ283" s="58">
        <v>0.94</v>
      </c>
      <c r="AR283" s="58">
        <v>0.73</v>
      </c>
      <c r="AS283" s="58">
        <v>0.77</v>
      </c>
      <c r="AT283" s="58">
        <v>0.6</v>
      </c>
      <c r="AU283" s="58">
        <v>0.6</v>
      </c>
    </row>
    <row r="284" spans="25:47" ht="15" thickBot="1" x14ac:dyDescent="0.4">
      <c r="AK284" s="74"/>
      <c r="AL284" s="77"/>
      <c r="AM284" s="40" t="s">
        <v>13</v>
      </c>
      <c r="AN284" s="59">
        <v>0.76</v>
      </c>
      <c r="AO284" s="60">
        <v>0.74</v>
      </c>
      <c r="AP284" s="59">
        <v>0.9</v>
      </c>
      <c r="AQ284" s="59">
        <v>0.89</v>
      </c>
      <c r="AR284" s="59">
        <v>0.78</v>
      </c>
      <c r="AS284" s="59">
        <v>0.78</v>
      </c>
      <c r="AT284" s="59">
        <v>0.69</v>
      </c>
      <c r="AU284" s="59">
        <v>0.63</v>
      </c>
    </row>
    <row r="285" spans="25:47" ht="15" thickBot="1" x14ac:dyDescent="0.4">
      <c r="AK285" s="74"/>
      <c r="AL285" s="77"/>
      <c r="AM285" s="39" t="s">
        <v>12</v>
      </c>
      <c r="AN285" s="58">
        <v>0.82</v>
      </c>
      <c r="AO285" s="58">
        <v>0.74</v>
      </c>
      <c r="AP285" s="58">
        <v>0.95</v>
      </c>
      <c r="AQ285" s="58">
        <v>0.88</v>
      </c>
      <c r="AR285" s="58">
        <v>0.82</v>
      </c>
      <c r="AS285" s="58">
        <v>0.78</v>
      </c>
      <c r="AT285" s="61">
        <v>0.77</v>
      </c>
      <c r="AU285" s="61">
        <v>0.64</v>
      </c>
    </row>
    <row r="286" spans="25:47" ht="15" thickBot="1" x14ac:dyDescent="0.4">
      <c r="AK286" s="74"/>
      <c r="AL286" s="77"/>
      <c r="AM286" s="41" t="s">
        <v>113</v>
      </c>
      <c r="AN286" s="59">
        <v>0.64</v>
      </c>
      <c r="AO286" s="59">
        <v>0.65</v>
      </c>
      <c r="AP286" s="59">
        <v>0.67</v>
      </c>
      <c r="AQ286" s="59">
        <v>0.69</v>
      </c>
      <c r="AR286" s="62">
        <v>0.78</v>
      </c>
      <c r="AS286" s="62">
        <v>0.8</v>
      </c>
      <c r="AT286" s="62">
        <v>0.61</v>
      </c>
      <c r="AU286" s="62">
        <v>0.61</v>
      </c>
    </row>
    <row r="287" spans="25:47" ht="15" thickBot="1" x14ac:dyDescent="0.4">
      <c r="AE287" s="87" t="s">
        <v>8</v>
      </c>
      <c r="AF287" s="86"/>
      <c r="AK287" s="74"/>
      <c r="AL287" s="78"/>
      <c r="AM287" s="39" t="s">
        <v>11</v>
      </c>
      <c r="AN287" s="58">
        <v>0.78</v>
      </c>
      <c r="AO287" s="61">
        <v>0.73</v>
      </c>
      <c r="AP287" s="58">
        <v>0.94</v>
      </c>
      <c r="AQ287" s="58">
        <v>0.88</v>
      </c>
      <c r="AR287" s="63">
        <v>0.78</v>
      </c>
      <c r="AS287" s="63">
        <v>0.78</v>
      </c>
      <c r="AT287" s="63">
        <v>0.71</v>
      </c>
      <c r="AU287" s="64">
        <v>0.63</v>
      </c>
    </row>
    <row r="288" spans="25:47" ht="15" thickBot="1" x14ac:dyDescent="0.4">
      <c r="AE288" s="37" t="s">
        <v>5</v>
      </c>
      <c r="AF288" s="37" t="s">
        <v>6</v>
      </c>
      <c r="AK288" s="74"/>
      <c r="AL288" s="76" t="s">
        <v>124</v>
      </c>
      <c r="AM288" s="39" t="s">
        <v>14</v>
      </c>
      <c r="AN288" s="61">
        <v>0.73</v>
      </c>
      <c r="AO288" s="61">
        <v>0.75</v>
      </c>
      <c r="AP288" s="58">
        <v>0.95</v>
      </c>
      <c r="AQ288" s="58">
        <v>0.94</v>
      </c>
      <c r="AR288" s="58">
        <v>0.73</v>
      </c>
      <c r="AS288" s="58">
        <v>0.77</v>
      </c>
      <c r="AT288" s="58">
        <v>0.6</v>
      </c>
      <c r="AU288" s="58">
        <v>0.6</v>
      </c>
    </row>
    <row r="289" spans="9:47" ht="15" thickBot="1" x14ac:dyDescent="0.4">
      <c r="AD289" t="s">
        <v>129</v>
      </c>
      <c r="AE289" s="59">
        <v>0.8</v>
      </c>
      <c r="AF289" s="65">
        <v>0.74</v>
      </c>
      <c r="AK289" s="74"/>
      <c r="AL289" s="77"/>
      <c r="AM289" s="40" t="s">
        <v>13</v>
      </c>
      <c r="AN289" s="59">
        <v>0.75</v>
      </c>
      <c r="AO289" s="59">
        <v>0.73</v>
      </c>
      <c r="AP289" s="59">
        <v>0.9</v>
      </c>
      <c r="AQ289" s="59">
        <v>0.88</v>
      </c>
      <c r="AR289" s="59">
        <v>0.77</v>
      </c>
      <c r="AS289" s="59">
        <v>0.78</v>
      </c>
      <c r="AT289" s="59">
        <v>0.68</v>
      </c>
      <c r="AU289" s="59">
        <v>0.62</v>
      </c>
    </row>
    <row r="290" spans="9:47" ht="15" thickBot="1" x14ac:dyDescent="0.4">
      <c r="AD290" t="s">
        <v>128</v>
      </c>
      <c r="AE290" s="64">
        <v>0.78</v>
      </c>
      <c r="AF290" s="64">
        <v>0.73</v>
      </c>
      <c r="AK290" s="74"/>
      <c r="AL290" s="77"/>
      <c r="AM290" s="39" t="s">
        <v>12</v>
      </c>
      <c r="AN290" s="58">
        <v>0.82</v>
      </c>
      <c r="AO290" s="58">
        <v>0.74</v>
      </c>
      <c r="AP290" s="58">
        <v>0.95</v>
      </c>
      <c r="AQ290" s="58">
        <v>0.88</v>
      </c>
      <c r="AR290" s="58">
        <v>0.82</v>
      </c>
      <c r="AS290" s="58">
        <v>0.78</v>
      </c>
      <c r="AT290" s="58">
        <v>0.77</v>
      </c>
      <c r="AU290" s="58">
        <v>0.64</v>
      </c>
    </row>
    <row r="291" spans="9:47" ht="15" thickBot="1" x14ac:dyDescent="0.4">
      <c r="AD291" t="s">
        <v>127</v>
      </c>
      <c r="AE291" s="59">
        <v>0.69</v>
      </c>
      <c r="AF291" s="59">
        <v>0.63</v>
      </c>
      <c r="AK291" s="74"/>
      <c r="AL291" s="77"/>
      <c r="AM291" s="41" t="s">
        <v>113</v>
      </c>
      <c r="AN291" s="59">
        <v>0.64</v>
      </c>
      <c r="AO291" s="59">
        <v>0.65</v>
      </c>
      <c r="AP291" s="59">
        <v>0.67</v>
      </c>
      <c r="AQ291" s="59">
        <v>0.69</v>
      </c>
      <c r="AR291" s="62">
        <v>0.78</v>
      </c>
      <c r="AS291" s="62">
        <v>0.8</v>
      </c>
      <c r="AT291" s="62">
        <v>0.61</v>
      </c>
      <c r="AU291" s="62">
        <v>0.61</v>
      </c>
    </row>
    <row r="292" spans="9:47" ht="15" thickBot="1" x14ac:dyDescent="0.4">
      <c r="AD292" t="s">
        <v>130</v>
      </c>
      <c r="AE292" s="67">
        <v>0.72</v>
      </c>
      <c r="AF292" s="67">
        <v>0.63</v>
      </c>
      <c r="AK292" s="74"/>
      <c r="AL292" s="78"/>
      <c r="AM292" s="39" t="s">
        <v>11</v>
      </c>
      <c r="AN292" s="58">
        <v>0.78</v>
      </c>
      <c r="AO292" s="58">
        <v>0.73</v>
      </c>
      <c r="AP292" s="58">
        <v>0.94</v>
      </c>
      <c r="AQ292" s="58">
        <v>0.88</v>
      </c>
      <c r="AR292" s="63">
        <v>0.78</v>
      </c>
      <c r="AS292" s="63">
        <v>0.78</v>
      </c>
      <c r="AT292" s="64">
        <v>0.78</v>
      </c>
      <c r="AU292" s="64">
        <v>0.73</v>
      </c>
    </row>
    <row r="293" spans="9:47" ht="15" thickBot="1" x14ac:dyDescent="0.4">
      <c r="AD293" t="s">
        <v>126</v>
      </c>
      <c r="AE293" s="53">
        <v>0.43</v>
      </c>
      <c r="AF293" s="53">
        <v>0.42</v>
      </c>
      <c r="AK293" s="74"/>
      <c r="AL293" s="76" t="s">
        <v>125</v>
      </c>
      <c r="AM293" s="39" t="s">
        <v>14</v>
      </c>
      <c r="AN293" s="58" t="s">
        <v>76</v>
      </c>
      <c r="AO293" s="58" t="s">
        <v>77</v>
      </c>
      <c r="AP293" s="58">
        <v>0.96</v>
      </c>
      <c r="AQ293" s="58" t="s">
        <v>72</v>
      </c>
      <c r="AR293" s="58" t="s">
        <v>31</v>
      </c>
      <c r="AS293" s="58" t="s">
        <v>31</v>
      </c>
      <c r="AT293" s="58" t="s">
        <v>54</v>
      </c>
      <c r="AU293" s="58" t="s">
        <v>77</v>
      </c>
    </row>
    <row r="294" spans="9:47" ht="15" thickBot="1" x14ac:dyDescent="0.4">
      <c r="AK294" s="74"/>
      <c r="AL294" s="77"/>
      <c r="AM294" s="40" t="s">
        <v>13</v>
      </c>
      <c r="AN294" s="59" t="s">
        <v>53</v>
      </c>
      <c r="AO294" s="59" t="s">
        <v>63</v>
      </c>
      <c r="AP294" s="59" t="s">
        <v>48</v>
      </c>
      <c r="AQ294" s="59" t="s">
        <v>35</v>
      </c>
      <c r="AR294" s="59">
        <v>0.85</v>
      </c>
      <c r="AS294" s="59" t="s">
        <v>40</v>
      </c>
      <c r="AT294" s="59" t="s">
        <v>60</v>
      </c>
      <c r="AU294" s="65" t="s">
        <v>63</v>
      </c>
    </row>
    <row r="295" spans="9:47" ht="15" thickBot="1" x14ac:dyDescent="0.4">
      <c r="AK295" s="74"/>
      <c r="AL295" s="77"/>
      <c r="AM295" s="39" t="s">
        <v>12</v>
      </c>
      <c r="AN295" s="58" t="s">
        <v>76</v>
      </c>
      <c r="AO295" s="66" t="s">
        <v>41</v>
      </c>
      <c r="AP295" s="58" t="s">
        <v>55</v>
      </c>
      <c r="AQ295" s="58" t="s">
        <v>71</v>
      </c>
      <c r="AR295" s="58">
        <v>0.76</v>
      </c>
      <c r="AS295" s="58" t="s">
        <v>41</v>
      </c>
      <c r="AT295" s="58" t="s">
        <v>45</v>
      </c>
      <c r="AU295" s="58" t="s">
        <v>78</v>
      </c>
    </row>
    <row r="296" spans="9:47" ht="15" thickBot="1" x14ac:dyDescent="0.4">
      <c r="AK296" s="74"/>
      <c r="AL296" s="77"/>
      <c r="AM296" s="41" t="s">
        <v>113</v>
      </c>
      <c r="AN296" s="59" t="s">
        <v>79</v>
      </c>
      <c r="AO296" s="59" t="s">
        <v>80</v>
      </c>
      <c r="AP296" s="59" t="s">
        <v>81</v>
      </c>
      <c r="AQ296" s="59" t="s">
        <v>82</v>
      </c>
      <c r="AR296" s="62" t="s">
        <v>83</v>
      </c>
      <c r="AS296" s="62" t="s">
        <v>39</v>
      </c>
      <c r="AT296" s="62" t="s">
        <v>44</v>
      </c>
      <c r="AU296" s="62" t="s">
        <v>84</v>
      </c>
    </row>
    <row r="297" spans="9:47" ht="15" thickBot="1" x14ac:dyDescent="0.4">
      <c r="AK297" s="74"/>
      <c r="AL297" s="78"/>
      <c r="AM297" s="39" t="s">
        <v>11</v>
      </c>
      <c r="AN297" s="58" t="s">
        <v>59</v>
      </c>
      <c r="AO297" s="58" t="s">
        <v>77</v>
      </c>
      <c r="AP297" s="58">
        <v>0.92</v>
      </c>
      <c r="AQ297" s="58" t="s">
        <v>43</v>
      </c>
      <c r="AR297" s="63" t="s">
        <v>31</v>
      </c>
      <c r="AS297" s="63" t="s">
        <v>31</v>
      </c>
      <c r="AT297" s="63" t="s">
        <v>45</v>
      </c>
      <c r="AU297" s="63" t="s">
        <v>84</v>
      </c>
    </row>
    <row r="298" spans="9:47" ht="15" thickBot="1" x14ac:dyDescent="0.4">
      <c r="AK298" s="74"/>
      <c r="AL298" s="93" t="s">
        <v>132</v>
      </c>
      <c r="AM298" s="47" t="s">
        <v>14</v>
      </c>
      <c r="AN298" s="67">
        <v>0.78</v>
      </c>
      <c r="AO298" s="67">
        <v>0.74</v>
      </c>
      <c r="AP298" s="68">
        <v>0.92</v>
      </c>
      <c r="AQ298" s="68">
        <v>0.89</v>
      </c>
      <c r="AR298" s="68">
        <v>0.79</v>
      </c>
      <c r="AS298" s="68">
        <v>0.78</v>
      </c>
      <c r="AT298" s="67">
        <v>0.72</v>
      </c>
      <c r="AU298" s="67">
        <v>0.63</v>
      </c>
    </row>
    <row r="299" spans="9:47" ht="15" thickBot="1" x14ac:dyDescent="0.4">
      <c r="AK299" s="74"/>
      <c r="AL299" s="94"/>
      <c r="AM299" s="39" t="s">
        <v>13</v>
      </c>
      <c r="AN299" s="58">
        <v>0.75</v>
      </c>
      <c r="AO299" s="58">
        <v>0.72</v>
      </c>
      <c r="AP299" s="58">
        <v>0.88</v>
      </c>
      <c r="AQ299" s="58">
        <v>0.84</v>
      </c>
      <c r="AR299" s="58">
        <v>0.78</v>
      </c>
      <c r="AS299" s="58">
        <v>0.78</v>
      </c>
      <c r="AT299" s="58">
        <v>0.68</v>
      </c>
      <c r="AU299" s="58">
        <v>0.62</v>
      </c>
    </row>
    <row r="300" spans="9:47" ht="15" thickBot="1" x14ac:dyDescent="0.4">
      <c r="AK300" s="74"/>
      <c r="AL300" s="94"/>
      <c r="AM300" s="47" t="s">
        <v>12</v>
      </c>
      <c r="AN300" s="68">
        <v>0.78</v>
      </c>
      <c r="AO300" s="68">
        <v>0.73</v>
      </c>
      <c r="AP300" s="68">
        <v>0.92</v>
      </c>
      <c r="AQ300" s="68">
        <v>0.87</v>
      </c>
      <c r="AR300" s="68">
        <v>0.8</v>
      </c>
      <c r="AS300" s="68">
        <v>0.78</v>
      </c>
      <c r="AT300" s="68">
        <v>0.72</v>
      </c>
      <c r="AU300" s="68">
        <v>0.62</v>
      </c>
    </row>
    <row r="301" spans="9:47" ht="15" thickBot="1" x14ac:dyDescent="0.4">
      <c r="AK301" s="74"/>
      <c r="AL301" s="94"/>
      <c r="AM301" s="39" t="s">
        <v>113</v>
      </c>
      <c r="AN301" s="58">
        <v>0.48</v>
      </c>
      <c r="AO301" s="58">
        <v>0.47</v>
      </c>
      <c r="AP301" s="58">
        <v>0.37</v>
      </c>
      <c r="AQ301" s="58">
        <v>0.4</v>
      </c>
      <c r="AR301" s="58">
        <v>0.74</v>
      </c>
      <c r="AS301" s="58">
        <v>0.75</v>
      </c>
      <c r="AT301" s="58">
        <v>0.48</v>
      </c>
      <c r="AU301" s="58">
        <v>0.47</v>
      </c>
    </row>
    <row r="302" spans="9:47" ht="15" thickBot="1" x14ac:dyDescent="0.4">
      <c r="I302" t="s">
        <v>18</v>
      </c>
      <c r="J302" t="s">
        <v>103</v>
      </c>
      <c r="K302" t="s">
        <v>104</v>
      </c>
      <c r="L302" t="s">
        <v>105</v>
      </c>
      <c r="AK302" s="75"/>
      <c r="AL302" s="95"/>
      <c r="AM302" s="47" t="s">
        <v>11</v>
      </c>
      <c r="AN302" s="68">
        <v>0.74</v>
      </c>
      <c r="AO302" s="68">
        <v>0.75</v>
      </c>
      <c r="AP302" s="68">
        <v>0.94</v>
      </c>
      <c r="AQ302" s="68">
        <v>0.93</v>
      </c>
      <c r="AR302" s="68">
        <v>0.75</v>
      </c>
      <c r="AS302" s="68">
        <v>0.77</v>
      </c>
      <c r="AT302" s="68">
        <v>0.63</v>
      </c>
      <c r="AU302" s="68">
        <v>0.62</v>
      </c>
    </row>
    <row r="303" spans="9:47" x14ac:dyDescent="0.35">
      <c r="I303" s="17">
        <v>0.84</v>
      </c>
      <c r="J303" s="17">
        <v>0.83</v>
      </c>
      <c r="K303">
        <v>0.84</v>
      </c>
      <c r="L303" s="17">
        <v>0.8</v>
      </c>
    </row>
    <row r="340" spans="28:50" ht="15" thickBot="1" x14ac:dyDescent="0.4"/>
    <row r="341" spans="28:50" ht="15" thickBot="1" x14ac:dyDescent="0.4">
      <c r="AN341" s="34" t="s">
        <v>0</v>
      </c>
      <c r="AO341" s="35" t="s">
        <v>1</v>
      </c>
      <c r="AP341" s="36" t="s">
        <v>10</v>
      </c>
      <c r="AQ341" s="88" t="s">
        <v>3</v>
      </c>
      <c r="AR341" s="89"/>
      <c r="AS341" s="89"/>
      <c r="AT341" s="89"/>
      <c r="AU341" s="89"/>
      <c r="AV341" s="89"/>
      <c r="AW341" s="89"/>
      <c r="AX341" s="90"/>
    </row>
    <row r="342" spans="28:50" ht="15" thickBot="1" x14ac:dyDescent="0.4">
      <c r="AN342" s="91"/>
      <c r="AO342" s="91"/>
      <c r="AP342" s="91"/>
      <c r="AQ342" s="85" t="s">
        <v>110</v>
      </c>
      <c r="AR342" s="86"/>
      <c r="AS342" s="87" t="s">
        <v>7</v>
      </c>
      <c r="AT342" s="86"/>
      <c r="AU342" s="87" t="s">
        <v>111</v>
      </c>
      <c r="AV342" s="86"/>
      <c r="AW342" s="87" t="s">
        <v>8</v>
      </c>
      <c r="AX342" s="86"/>
    </row>
    <row r="343" spans="28:50" ht="15" thickBot="1" x14ac:dyDescent="0.4">
      <c r="AC343" s="85" t="s">
        <v>110</v>
      </c>
      <c r="AD343" s="86"/>
      <c r="AE343" s="87" t="s">
        <v>7</v>
      </c>
      <c r="AF343" s="86"/>
      <c r="AG343" s="87" t="s">
        <v>111</v>
      </c>
      <c r="AH343" s="86"/>
      <c r="AI343" s="87" t="s">
        <v>8</v>
      </c>
      <c r="AJ343" s="86"/>
      <c r="AN343" s="92"/>
      <c r="AO343" s="92"/>
      <c r="AP343" s="92"/>
      <c r="AQ343" s="37" t="s">
        <v>5</v>
      </c>
      <c r="AR343" s="37" t="s">
        <v>6</v>
      </c>
      <c r="AS343" s="37" t="s">
        <v>5</v>
      </c>
      <c r="AT343" s="37" t="s">
        <v>6</v>
      </c>
      <c r="AU343" s="37" t="s">
        <v>5</v>
      </c>
      <c r="AV343" s="37" t="s">
        <v>6</v>
      </c>
      <c r="AW343" s="37" t="s">
        <v>5</v>
      </c>
      <c r="AX343" s="37" t="s">
        <v>6</v>
      </c>
    </row>
    <row r="344" spans="28:50" ht="15" thickBot="1" x14ac:dyDescent="0.4">
      <c r="AC344" s="37" t="s">
        <v>5</v>
      </c>
      <c r="AD344" s="37" t="s">
        <v>6</v>
      </c>
      <c r="AE344" s="37" t="s">
        <v>5</v>
      </c>
      <c r="AF344" s="37" t="s">
        <v>6</v>
      </c>
      <c r="AG344" s="37" t="s">
        <v>5</v>
      </c>
      <c r="AH344" s="37" t="s">
        <v>6</v>
      </c>
      <c r="AI344" s="37" t="s">
        <v>5</v>
      </c>
      <c r="AJ344" s="37" t="s">
        <v>6</v>
      </c>
      <c r="AN344" s="73" t="s">
        <v>67</v>
      </c>
      <c r="AO344" s="76" t="s">
        <v>133</v>
      </c>
      <c r="AP344" s="39" t="s">
        <v>14</v>
      </c>
      <c r="AQ344" s="58">
        <v>0.83</v>
      </c>
      <c r="AR344" s="58">
        <v>0.8</v>
      </c>
      <c r="AS344" s="58">
        <v>0.92</v>
      </c>
      <c r="AT344" s="58">
        <v>0.9</v>
      </c>
      <c r="AU344" s="58">
        <v>0.84</v>
      </c>
      <c r="AV344" s="58">
        <v>0.83</v>
      </c>
      <c r="AW344" s="58">
        <v>0.79</v>
      </c>
      <c r="AX344" s="58">
        <v>0.74</v>
      </c>
    </row>
    <row r="345" spans="28:50" ht="15" thickBot="1" x14ac:dyDescent="0.4">
      <c r="AB345" t="s">
        <v>139</v>
      </c>
      <c r="AC345" s="59">
        <v>0.85</v>
      </c>
      <c r="AD345" s="65">
        <v>0.83</v>
      </c>
      <c r="AE345" s="59">
        <v>0.9</v>
      </c>
      <c r="AF345" s="59">
        <v>0.88</v>
      </c>
      <c r="AG345" s="59">
        <v>0.88</v>
      </c>
      <c r="AH345" s="59">
        <v>0.88</v>
      </c>
      <c r="AI345" s="59">
        <v>0.82</v>
      </c>
      <c r="AJ345" s="65">
        <v>0.79</v>
      </c>
      <c r="AN345" s="74"/>
      <c r="AO345" s="77"/>
      <c r="AP345" s="40" t="s">
        <v>13</v>
      </c>
      <c r="AQ345" s="59">
        <v>0.85</v>
      </c>
      <c r="AR345" s="59">
        <v>0.8</v>
      </c>
      <c r="AS345" s="59">
        <v>0.92</v>
      </c>
      <c r="AT345" s="59">
        <v>0.87</v>
      </c>
      <c r="AU345" s="59">
        <v>0.87</v>
      </c>
      <c r="AV345" s="59">
        <v>0.85</v>
      </c>
      <c r="AW345" s="59">
        <v>0.82</v>
      </c>
      <c r="AX345" s="59">
        <v>0.75</v>
      </c>
    </row>
    <row r="346" spans="28:50" ht="15" thickBot="1" x14ac:dyDescent="0.4">
      <c r="AB346" t="s">
        <v>138</v>
      </c>
      <c r="AC346" s="58">
        <v>0.84</v>
      </c>
      <c r="AD346" s="61">
        <v>0.81</v>
      </c>
      <c r="AE346" s="58">
        <v>0.91</v>
      </c>
      <c r="AF346" s="58">
        <v>0.89</v>
      </c>
      <c r="AG346" s="63">
        <v>0.87</v>
      </c>
      <c r="AH346" s="63">
        <v>0.86</v>
      </c>
      <c r="AI346" s="63">
        <v>0.81</v>
      </c>
      <c r="AJ346" s="63">
        <v>0.76</v>
      </c>
      <c r="AN346" s="74"/>
      <c r="AO346" s="77"/>
      <c r="AP346" s="39" t="s">
        <v>12</v>
      </c>
      <c r="AQ346" s="58">
        <v>0.85</v>
      </c>
      <c r="AR346" s="58">
        <v>0.81</v>
      </c>
      <c r="AS346" s="58">
        <v>0.91</v>
      </c>
      <c r="AT346" s="58">
        <v>0.87</v>
      </c>
      <c r="AU346" s="58">
        <v>0.88</v>
      </c>
      <c r="AV346" s="58">
        <v>0.87</v>
      </c>
      <c r="AW346" s="58">
        <v>0.83</v>
      </c>
      <c r="AX346" s="58">
        <v>0.76</v>
      </c>
    </row>
    <row r="347" spans="28:50" ht="15" thickBot="1" x14ac:dyDescent="0.4">
      <c r="AB347" t="s">
        <v>141</v>
      </c>
      <c r="AC347" s="59">
        <v>0.83</v>
      </c>
      <c r="AD347" s="59">
        <v>0.75</v>
      </c>
      <c r="AE347" s="59">
        <v>0.88</v>
      </c>
      <c r="AF347" s="59">
        <v>0.83</v>
      </c>
      <c r="AG347" s="59">
        <v>0.87</v>
      </c>
      <c r="AH347" s="59">
        <v>0.82</v>
      </c>
      <c r="AI347" s="59">
        <v>0.8</v>
      </c>
      <c r="AJ347" s="59">
        <v>0.75</v>
      </c>
      <c r="AN347" s="74"/>
      <c r="AO347" s="77"/>
      <c r="AP347" s="41" t="s">
        <v>113</v>
      </c>
      <c r="AQ347" s="59">
        <v>0.73</v>
      </c>
      <c r="AR347" s="59">
        <v>0.76</v>
      </c>
      <c r="AS347" s="59">
        <v>0.86</v>
      </c>
      <c r="AT347" s="59">
        <v>0.88</v>
      </c>
      <c r="AU347" s="62">
        <v>0.77</v>
      </c>
      <c r="AV347" s="62">
        <v>0.81</v>
      </c>
      <c r="AW347" s="62">
        <v>0.66</v>
      </c>
      <c r="AX347" s="62">
        <v>0.68</v>
      </c>
    </row>
    <row r="348" spans="28:50" ht="15" thickBot="1" x14ac:dyDescent="0.4">
      <c r="AB348" t="s">
        <v>140</v>
      </c>
      <c r="AC348" s="60">
        <v>0.83</v>
      </c>
      <c r="AD348" s="60">
        <v>0.79</v>
      </c>
      <c r="AE348" s="59">
        <v>0.86</v>
      </c>
      <c r="AF348" s="59">
        <v>0.82</v>
      </c>
      <c r="AG348" s="59">
        <v>0.89</v>
      </c>
      <c r="AH348" s="59">
        <v>0.88</v>
      </c>
      <c r="AI348" s="60">
        <v>0.81</v>
      </c>
      <c r="AJ348" s="60">
        <v>0.75</v>
      </c>
      <c r="AN348" s="74"/>
      <c r="AO348" s="78"/>
      <c r="AP348" s="39" t="s">
        <v>11</v>
      </c>
      <c r="AQ348" s="58">
        <v>0.84</v>
      </c>
      <c r="AR348" s="61">
        <v>0.81</v>
      </c>
      <c r="AS348" s="58">
        <v>0.91</v>
      </c>
      <c r="AT348" s="58">
        <v>0.89</v>
      </c>
      <c r="AU348" s="63">
        <v>0.87</v>
      </c>
      <c r="AV348" s="63">
        <v>0.86</v>
      </c>
      <c r="AW348" s="63">
        <v>0.81</v>
      </c>
      <c r="AX348" s="63">
        <v>0.76</v>
      </c>
    </row>
    <row r="349" spans="28:50" ht="15" thickBot="1" x14ac:dyDescent="0.4">
      <c r="AB349" t="s">
        <v>137</v>
      </c>
      <c r="AC349" s="48">
        <v>0.82</v>
      </c>
      <c r="AD349" s="48">
        <v>0.77</v>
      </c>
      <c r="AE349" s="47">
        <v>0.89</v>
      </c>
      <c r="AF349" s="47">
        <v>0.83</v>
      </c>
      <c r="AG349" s="47">
        <v>0.86</v>
      </c>
      <c r="AH349" s="47">
        <v>0.85</v>
      </c>
      <c r="AI349" s="48">
        <v>0.79</v>
      </c>
      <c r="AJ349" s="48">
        <v>0.72</v>
      </c>
      <c r="AN349" s="74"/>
      <c r="AO349" s="76" t="s">
        <v>134</v>
      </c>
      <c r="AP349" s="39" t="s">
        <v>14</v>
      </c>
      <c r="AQ349" s="58">
        <v>0.84</v>
      </c>
      <c r="AR349" s="58">
        <v>0.81</v>
      </c>
      <c r="AS349" s="58">
        <v>0.96</v>
      </c>
      <c r="AT349" s="58">
        <v>0.93</v>
      </c>
      <c r="AU349" s="58">
        <v>0.83</v>
      </c>
      <c r="AV349" s="58">
        <v>0.83</v>
      </c>
      <c r="AW349" s="58">
        <v>0.79</v>
      </c>
      <c r="AX349" s="58">
        <v>0.74</v>
      </c>
    </row>
    <row r="350" spans="28:50" ht="15" thickBot="1" x14ac:dyDescent="0.4">
      <c r="AN350" s="74"/>
      <c r="AO350" s="77"/>
      <c r="AP350" s="40" t="s">
        <v>13</v>
      </c>
      <c r="AQ350" s="59">
        <v>0.85</v>
      </c>
      <c r="AR350" s="65">
        <v>0.83</v>
      </c>
      <c r="AS350" s="59">
        <v>0.9</v>
      </c>
      <c r="AT350" s="59">
        <v>0.88</v>
      </c>
      <c r="AU350" s="59">
        <v>0.88</v>
      </c>
      <c r="AV350" s="59">
        <v>0.88</v>
      </c>
      <c r="AW350" s="59">
        <v>0.82</v>
      </c>
      <c r="AX350" s="65">
        <v>0.79</v>
      </c>
    </row>
    <row r="351" spans="28:50" ht="15" thickBot="1" x14ac:dyDescent="0.4">
      <c r="AN351" s="74"/>
      <c r="AO351" s="77"/>
      <c r="AP351" s="39" t="s">
        <v>12</v>
      </c>
      <c r="AQ351" s="58">
        <v>0.88</v>
      </c>
      <c r="AR351" s="58">
        <v>0.83</v>
      </c>
      <c r="AS351" s="58">
        <v>0.93</v>
      </c>
      <c r="AT351" s="58">
        <v>0.88</v>
      </c>
      <c r="AU351" s="58">
        <v>0.9</v>
      </c>
      <c r="AV351" s="58">
        <v>0.89</v>
      </c>
      <c r="AW351" s="58">
        <v>0.86</v>
      </c>
      <c r="AX351" s="58">
        <v>0.79</v>
      </c>
    </row>
    <row r="352" spans="28:50" ht="15" thickBot="1" x14ac:dyDescent="0.4">
      <c r="AN352" s="74"/>
      <c r="AO352" s="77"/>
      <c r="AP352" s="41" t="s">
        <v>113</v>
      </c>
      <c r="AQ352" s="59">
        <v>0.78</v>
      </c>
      <c r="AR352" s="59">
        <v>0.79</v>
      </c>
      <c r="AS352" s="59">
        <v>0.78</v>
      </c>
      <c r="AT352" s="59">
        <v>0.78</v>
      </c>
      <c r="AU352" s="62">
        <v>0.89</v>
      </c>
      <c r="AV352" s="62">
        <v>0.91</v>
      </c>
      <c r="AW352" s="62">
        <v>0.77</v>
      </c>
      <c r="AX352" s="62">
        <v>0.76</v>
      </c>
    </row>
    <row r="353" spans="34:50" ht="15" thickBot="1" x14ac:dyDescent="0.4">
      <c r="AN353" s="74"/>
      <c r="AO353" s="78"/>
      <c r="AP353" s="39" t="s">
        <v>11</v>
      </c>
      <c r="AQ353" s="58">
        <v>0.86</v>
      </c>
      <c r="AR353" s="58">
        <v>0.83</v>
      </c>
      <c r="AS353" s="58">
        <v>0.91</v>
      </c>
      <c r="AT353" s="58">
        <v>0.88</v>
      </c>
      <c r="AU353" s="63">
        <v>0.89</v>
      </c>
      <c r="AV353" s="63">
        <v>0.89</v>
      </c>
      <c r="AW353" s="63">
        <v>0.84</v>
      </c>
      <c r="AX353" s="64">
        <v>0.79</v>
      </c>
    </row>
    <row r="354" spans="34:50" ht="15" thickBot="1" x14ac:dyDescent="0.4">
      <c r="AN354" s="74"/>
      <c r="AO354" s="76" t="s">
        <v>135</v>
      </c>
      <c r="AP354" s="39" t="s">
        <v>14</v>
      </c>
      <c r="AQ354" s="69">
        <v>0.93</v>
      </c>
      <c r="AR354" s="69">
        <v>0.8</v>
      </c>
      <c r="AS354" s="69">
        <v>0.93</v>
      </c>
      <c r="AT354" s="69">
        <v>0.82</v>
      </c>
      <c r="AU354" s="69">
        <v>0.97</v>
      </c>
      <c r="AV354" s="69">
        <v>0.89</v>
      </c>
      <c r="AW354" s="69">
        <v>0.92</v>
      </c>
      <c r="AX354" s="69">
        <v>76</v>
      </c>
    </row>
    <row r="355" spans="34:50" ht="15" thickBot="1" x14ac:dyDescent="0.4">
      <c r="AI355" s="87" t="s">
        <v>8</v>
      </c>
      <c r="AJ355" s="86"/>
      <c r="AN355" s="74"/>
      <c r="AO355" s="77"/>
      <c r="AP355" s="40" t="s">
        <v>13</v>
      </c>
      <c r="AQ355" s="60">
        <v>0.83</v>
      </c>
      <c r="AR355" s="60">
        <v>0.79</v>
      </c>
      <c r="AS355" s="59">
        <v>0.86</v>
      </c>
      <c r="AT355" s="59">
        <v>0.82</v>
      </c>
      <c r="AU355" s="59">
        <v>0.89</v>
      </c>
      <c r="AV355" s="59">
        <v>0.88</v>
      </c>
      <c r="AW355" s="60">
        <v>0.81</v>
      </c>
      <c r="AX355" s="60">
        <v>0.75</v>
      </c>
    </row>
    <row r="356" spans="34:50" ht="15" thickBot="1" x14ac:dyDescent="0.4">
      <c r="AI356" s="37" t="s">
        <v>5</v>
      </c>
      <c r="AJ356" s="37" t="s">
        <v>6</v>
      </c>
      <c r="AN356" s="74"/>
      <c r="AO356" s="77"/>
      <c r="AP356" s="39" t="s">
        <v>12</v>
      </c>
      <c r="AQ356" s="58">
        <v>0.84</v>
      </c>
      <c r="AR356" s="58">
        <v>0.8</v>
      </c>
      <c r="AS356" s="58">
        <v>0.9</v>
      </c>
      <c r="AT356" s="58">
        <v>0.86</v>
      </c>
      <c r="AU356" s="58">
        <v>0.87</v>
      </c>
      <c r="AV356" s="58">
        <v>0.86</v>
      </c>
      <c r="AW356" s="58">
        <v>0.81</v>
      </c>
      <c r="AX356" s="58">
        <v>0.75</v>
      </c>
    </row>
    <row r="357" spans="34:50" ht="15" thickBot="1" x14ac:dyDescent="0.4">
      <c r="AH357" t="s">
        <v>139</v>
      </c>
      <c r="AI357" s="59">
        <v>0.82</v>
      </c>
      <c r="AJ357" s="65">
        <v>0.79</v>
      </c>
      <c r="AN357" s="74"/>
      <c r="AO357" s="77"/>
      <c r="AP357" s="41" t="s">
        <v>113</v>
      </c>
      <c r="AQ357" s="59">
        <v>0.67</v>
      </c>
      <c r="AR357" s="59">
        <v>0.65</v>
      </c>
      <c r="AS357" s="59">
        <v>0.66</v>
      </c>
      <c r="AT357" s="59">
        <v>0.64</v>
      </c>
      <c r="AU357" s="62">
        <v>0.83</v>
      </c>
      <c r="AV357" s="62">
        <v>0.84</v>
      </c>
      <c r="AW357" s="62">
        <v>0.65</v>
      </c>
      <c r="AX357" s="62">
        <v>0.63</v>
      </c>
    </row>
    <row r="358" spans="34:50" ht="15" thickBot="1" x14ac:dyDescent="0.4">
      <c r="AH358" t="s">
        <v>138</v>
      </c>
      <c r="AI358" s="63">
        <v>0.81</v>
      </c>
      <c r="AJ358" s="63">
        <v>0.76</v>
      </c>
      <c r="AN358" s="74"/>
      <c r="AO358" s="78"/>
      <c r="AP358" s="39" t="s">
        <v>11</v>
      </c>
      <c r="AQ358" s="58">
        <v>0.85</v>
      </c>
      <c r="AR358" s="58">
        <v>0.8</v>
      </c>
      <c r="AS358" s="58">
        <v>0.9</v>
      </c>
      <c r="AT358" s="58">
        <v>0.87</v>
      </c>
      <c r="AU358" s="63">
        <v>0.88</v>
      </c>
      <c r="AV358" s="63">
        <v>0.86</v>
      </c>
      <c r="AW358" s="63">
        <v>0.82</v>
      </c>
      <c r="AX358" s="63">
        <v>0.75</v>
      </c>
    </row>
    <row r="359" spans="34:50" ht="15" thickBot="1" x14ac:dyDescent="0.4">
      <c r="AH359" t="s">
        <v>141</v>
      </c>
      <c r="AI359" s="59">
        <v>0.8</v>
      </c>
      <c r="AJ359" s="59">
        <v>0.75</v>
      </c>
      <c r="AN359" s="74"/>
      <c r="AO359" s="76" t="s">
        <v>136</v>
      </c>
      <c r="AP359" s="39" t="s">
        <v>14</v>
      </c>
      <c r="AQ359" s="58">
        <v>0.85</v>
      </c>
      <c r="AR359" s="58">
        <v>0.75</v>
      </c>
      <c r="AS359" s="58">
        <v>0.91</v>
      </c>
      <c r="AT359" s="58">
        <v>0.83</v>
      </c>
      <c r="AU359" s="58">
        <v>0.88</v>
      </c>
      <c r="AV359" s="58">
        <v>0.82</v>
      </c>
      <c r="AW359" s="58">
        <v>0.82</v>
      </c>
      <c r="AX359" s="58">
        <v>0.68</v>
      </c>
    </row>
    <row r="360" spans="34:50" ht="15" thickBot="1" x14ac:dyDescent="0.4">
      <c r="AH360" t="s">
        <v>140</v>
      </c>
      <c r="AI360" s="60">
        <v>0.81</v>
      </c>
      <c r="AJ360" s="60">
        <v>0.75</v>
      </c>
      <c r="AN360" s="74"/>
      <c r="AO360" s="77"/>
      <c r="AP360" s="40" t="s">
        <v>13</v>
      </c>
      <c r="AQ360" s="59">
        <v>0.83</v>
      </c>
      <c r="AR360" s="59">
        <v>0.75</v>
      </c>
      <c r="AS360" s="59">
        <v>0.88</v>
      </c>
      <c r="AT360" s="59">
        <v>0.83</v>
      </c>
      <c r="AU360" s="59">
        <v>0.87</v>
      </c>
      <c r="AV360" s="59">
        <v>0.82</v>
      </c>
      <c r="AW360" s="59">
        <v>0.8</v>
      </c>
      <c r="AX360" s="59">
        <v>0.75</v>
      </c>
    </row>
    <row r="361" spans="34:50" ht="15" thickBot="1" x14ac:dyDescent="0.4">
      <c r="AH361" t="s">
        <v>137</v>
      </c>
      <c r="AI361" s="48">
        <v>0.79</v>
      </c>
      <c r="AJ361" s="48">
        <v>0.72</v>
      </c>
      <c r="AN361" s="74"/>
      <c r="AO361" s="77"/>
      <c r="AP361" s="39" t="s">
        <v>12</v>
      </c>
      <c r="AQ361" s="69">
        <v>0.75</v>
      </c>
      <c r="AR361" s="69">
        <v>0.74</v>
      </c>
      <c r="AS361" s="69" t="s">
        <v>56</v>
      </c>
      <c r="AT361" s="69" t="s">
        <v>86</v>
      </c>
      <c r="AU361" s="69">
        <v>0.73</v>
      </c>
      <c r="AV361" s="69" t="s">
        <v>63</v>
      </c>
      <c r="AW361" s="69" t="s">
        <v>87</v>
      </c>
      <c r="AX361" s="69" t="s">
        <v>82</v>
      </c>
    </row>
    <row r="362" spans="34:50" ht="15" thickBot="1" x14ac:dyDescent="0.4">
      <c r="AN362" s="74"/>
      <c r="AO362" s="77"/>
      <c r="AP362" s="41" t="s">
        <v>113</v>
      </c>
      <c r="AQ362" s="70" t="s">
        <v>88</v>
      </c>
      <c r="AR362" s="70" t="s">
        <v>89</v>
      </c>
      <c r="AS362" s="70">
        <v>0.49</v>
      </c>
      <c r="AT362" s="70" t="s">
        <v>90</v>
      </c>
      <c r="AU362" s="71" t="s">
        <v>56</v>
      </c>
      <c r="AV362" s="71" t="s">
        <v>43</v>
      </c>
      <c r="AW362" s="71" t="s">
        <v>88</v>
      </c>
      <c r="AX362" s="71" t="s">
        <v>89</v>
      </c>
    </row>
    <row r="363" spans="34:50" ht="15" thickBot="1" x14ac:dyDescent="0.4">
      <c r="AN363" s="74"/>
      <c r="AO363" s="78"/>
      <c r="AP363" s="39" t="s">
        <v>11</v>
      </c>
      <c r="AQ363" s="58">
        <v>0.85</v>
      </c>
      <c r="AR363" s="58" t="s">
        <v>31</v>
      </c>
      <c r="AS363" s="58">
        <v>0.92</v>
      </c>
      <c r="AT363" s="58" t="s">
        <v>42</v>
      </c>
      <c r="AU363" s="63" t="s">
        <v>29</v>
      </c>
      <c r="AV363" s="63" t="s">
        <v>64</v>
      </c>
      <c r="AW363" s="63" t="s">
        <v>30</v>
      </c>
      <c r="AX363" s="63" t="s">
        <v>75</v>
      </c>
    </row>
    <row r="364" spans="34:50" ht="15" thickBot="1" x14ac:dyDescent="0.4">
      <c r="AN364" s="74"/>
      <c r="AO364" s="82" t="s">
        <v>114</v>
      </c>
      <c r="AP364" s="47" t="s">
        <v>14</v>
      </c>
      <c r="AQ364" s="47">
        <v>0.87</v>
      </c>
      <c r="AR364" s="47">
        <v>0.74</v>
      </c>
      <c r="AS364" s="47">
        <v>0.88</v>
      </c>
      <c r="AT364" s="47">
        <v>0.78</v>
      </c>
      <c r="AU364" s="47">
        <v>0.92</v>
      </c>
      <c r="AV364" s="47">
        <v>0.84</v>
      </c>
      <c r="AW364" s="47">
        <v>0.85</v>
      </c>
      <c r="AX364" s="47">
        <v>0.9</v>
      </c>
    </row>
    <row r="365" spans="34:50" ht="15" thickBot="1" x14ac:dyDescent="0.4">
      <c r="AN365" s="74"/>
      <c r="AO365" s="83"/>
      <c r="AP365" s="39" t="s">
        <v>13</v>
      </c>
      <c r="AQ365" s="39">
        <v>0.78</v>
      </c>
      <c r="AR365" s="39">
        <v>0.7</v>
      </c>
      <c r="AS365" s="39">
        <v>0.79</v>
      </c>
      <c r="AT365" s="39">
        <v>0.73</v>
      </c>
      <c r="AU365" s="39">
        <v>0.87</v>
      </c>
      <c r="AV365" s="39">
        <v>0.83</v>
      </c>
      <c r="AW365" s="39">
        <v>0.75</v>
      </c>
      <c r="AX365" s="39">
        <v>0.66</v>
      </c>
    </row>
    <row r="366" spans="34:50" ht="15" thickBot="1" x14ac:dyDescent="0.4">
      <c r="AN366" s="74"/>
      <c r="AO366" s="83"/>
      <c r="AP366" s="47" t="s">
        <v>12</v>
      </c>
      <c r="AQ366" s="47">
        <v>0.83</v>
      </c>
      <c r="AR366" s="47">
        <v>0.76</v>
      </c>
      <c r="AS366" s="47">
        <v>0.87</v>
      </c>
      <c r="AT366" s="47">
        <v>0.8</v>
      </c>
      <c r="AU366" s="47">
        <v>0.88</v>
      </c>
      <c r="AV366" s="47">
        <v>0.86</v>
      </c>
      <c r="AW366" s="47">
        <v>0.8</v>
      </c>
      <c r="AX366" s="47">
        <v>0.72</v>
      </c>
    </row>
    <row r="367" spans="34:50" ht="15" thickBot="1" x14ac:dyDescent="0.4">
      <c r="AN367" s="74"/>
      <c r="AO367" s="83"/>
      <c r="AP367" s="39" t="s">
        <v>113</v>
      </c>
      <c r="AQ367" s="39">
        <v>0.56999999999999995</v>
      </c>
      <c r="AR367" s="39">
        <v>0.56000000000000005</v>
      </c>
      <c r="AS367" s="39">
        <v>0.59</v>
      </c>
      <c r="AT367" s="39">
        <v>0.53</v>
      </c>
      <c r="AU367" s="39">
        <v>0.79</v>
      </c>
      <c r="AV367" s="39">
        <v>0.79</v>
      </c>
      <c r="AW367" s="39">
        <v>0.56000000000000005</v>
      </c>
      <c r="AX367" s="39">
        <v>0.54</v>
      </c>
    </row>
    <row r="368" spans="34:50" ht="15" thickBot="1" x14ac:dyDescent="0.4">
      <c r="AN368" s="75"/>
      <c r="AO368" s="84"/>
      <c r="AP368" s="47" t="s">
        <v>11</v>
      </c>
      <c r="AQ368" s="48">
        <v>0.82</v>
      </c>
      <c r="AR368" s="48">
        <v>0.77</v>
      </c>
      <c r="AS368" s="47">
        <v>0.89</v>
      </c>
      <c r="AT368" s="47">
        <v>0.83</v>
      </c>
      <c r="AU368" s="47">
        <v>0.86</v>
      </c>
      <c r="AV368" s="47">
        <v>0.85</v>
      </c>
      <c r="AW368" s="48">
        <v>0.79</v>
      </c>
      <c r="AX368" s="48">
        <v>0.72</v>
      </c>
    </row>
    <row r="374" spans="34:36" ht="15" thickBot="1" x14ac:dyDescent="0.4"/>
    <row r="375" spans="34:36" ht="15" thickBot="1" x14ac:dyDescent="0.4">
      <c r="AI375" s="87" t="s">
        <v>8</v>
      </c>
      <c r="AJ375" s="86"/>
    </row>
    <row r="376" spans="34:36" ht="15" thickBot="1" x14ac:dyDescent="0.4">
      <c r="AI376" s="37" t="s">
        <v>5</v>
      </c>
      <c r="AJ376" s="37" t="s">
        <v>6</v>
      </c>
    </row>
    <row r="377" spans="34:36" ht="15" thickBot="1" x14ac:dyDescent="0.4">
      <c r="AH377" t="s">
        <v>139</v>
      </c>
      <c r="AI377" s="59">
        <v>0.82</v>
      </c>
      <c r="AJ377" s="65">
        <v>0.79</v>
      </c>
    </row>
    <row r="378" spans="34:36" ht="15" thickBot="1" x14ac:dyDescent="0.4">
      <c r="AH378" t="s">
        <v>117</v>
      </c>
      <c r="AI378" s="41">
        <v>0.83</v>
      </c>
      <c r="AJ378" s="45">
        <v>0.8</v>
      </c>
    </row>
    <row r="399" spans="36:46" ht="15" thickBot="1" x14ac:dyDescent="0.4"/>
    <row r="400" spans="36:46" ht="15" thickBot="1" x14ac:dyDescent="0.4">
      <c r="AJ400" s="34" t="s">
        <v>0</v>
      </c>
      <c r="AK400" s="35" t="s">
        <v>108</v>
      </c>
      <c r="AL400" s="36" t="s">
        <v>10</v>
      </c>
      <c r="AM400" s="88" t="s">
        <v>3</v>
      </c>
      <c r="AN400" s="89"/>
      <c r="AO400" s="89"/>
      <c r="AP400" s="89"/>
      <c r="AQ400" s="89"/>
      <c r="AR400" s="89"/>
      <c r="AS400" s="89"/>
      <c r="AT400" s="90"/>
    </row>
    <row r="401" spans="26:46" ht="15" thickBot="1" x14ac:dyDescent="0.4">
      <c r="AJ401" s="91"/>
      <c r="AK401" s="91"/>
      <c r="AL401" s="91"/>
      <c r="AM401" s="85" t="s">
        <v>110</v>
      </c>
      <c r="AN401" s="86"/>
      <c r="AO401" s="87" t="s">
        <v>7</v>
      </c>
      <c r="AP401" s="86"/>
      <c r="AQ401" s="87" t="s">
        <v>111</v>
      </c>
      <c r="AR401" s="86"/>
      <c r="AS401" s="87" t="s">
        <v>8</v>
      </c>
      <c r="AT401" s="86"/>
    </row>
    <row r="402" spans="26:46" ht="15" thickBot="1" x14ac:dyDescent="0.4">
      <c r="AA402" s="85" t="s">
        <v>110</v>
      </c>
      <c r="AB402" s="86"/>
      <c r="AC402" s="87" t="s">
        <v>7</v>
      </c>
      <c r="AD402" s="86"/>
      <c r="AE402" s="87" t="s">
        <v>111</v>
      </c>
      <c r="AF402" s="86"/>
      <c r="AG402" s="87" t="s">
        <v>8</v>
      </c>
      <c r="AH402" s="86"/>
      <c r="AJ402" s="92"/>
      <c r="AK402" s="92"/>
      <c r="AL402" s="92"/>
      <c r="AM402" s="37" t="s">
        <v>5</v>
      </c>
      <c r="AN402" s="37" t="s">
        <v>6</v>
      </c>
      <c r="AO402" s="37" t="s">
        <v>5</v>
      </c>
      <c r="AP402" s="37" t="s">
        <v>6</v>
      </c>
      <c r="AQ402" s="37" t="s">
        <v>5</v>
      </c>
      <c r="AR402" s="37" t="s">
        <v>6</v>
      </c>
      <c r="AS402" s="37" t="s">
        <v>5</v>
      </c>
      <c r="AT402" s="37" t="s">
        <v>6</v>
      </c>
    </row>
    <row r="403" spans="26:46" ht="15" thickBot="1" x14ac:dyDescent="0.4">
      <c r="AA403" s="37" t="s">
        <v>5</v>
      </c>
      <c r="AB403" s="37" t="s">
        <v>6</v>
      </c>
      <c r="AC403" s="37" t="s">
        <v>5</v>
      </c>
      <c r="AD403" s="37" t="s">
        <v>6</v>
      </c>
      <c r="AE403" s="37" t="s">
        <v>5</v>
      </c>
      <c r="AF403" s="37" t="s">
        <v>6</v>
      </c>
      <c r="AG403" s="37" t="s">
        <v>5</v>
      </c>
      <c r="AH403" s="37" t="s">
        <v>6</v>
      </c>
      <c r="AJ403" s="73" t="s">
        <v>68</v>
      </c>
      <c r="AK403" s="76" t="s">
        <v>133</v>
      </c>
      <c r="AL403" s="39" t="s">
        <v>14</v>
      </c>
      <c r="AM403" s="58">
        <v>0.83</v>
      </c>
      <c r="AN403" s="58">
        <v>0.82</v>
      </c>
      <c r="AO403" s="58">
        <v>0.89</v>
      </c>
      <c r="AP403" s="58">
        <v>0.87</v>
      </c>
      <c r="AQ403" s="58">
        <v>0.87</v>
      </c>
      <c r="AR403" s="58">
        <v>0.87</v>
      </c>
      <c r="AS403" s="58">
        <v>0.8</v>
      </c>
      <c r="AT403" s="58">
        <v>0.78</v>
      </c>
    </row>
    <row r="404" spans="26:46" ht="15" thickBot="1" x14ac:dyDescent="0.4">
      <c r="Z404" t="s">
        <v>142</v>
      </c>
      <c r="AA404" s="58">
        <v>0.87</v>
      </c>
      <c r="AB404" s="61">
        <v>0.83</v>
      </c>
      <c r="AC404" s="58">
        <v>0.92</v>
      </c>
      <c r="AD404" s="58">
        <v>0.89</v>
      </c>
      <c r="AE404" s="63">
        <v>0.9</v>
      </c>
      <c r="AF404" s="63">
        <v>0.88</v>
      </c>
      <c r="AG404" s="63">
        <v>0.85</v>
      </c>
      <c r="AH404" s="64">
        <v>0.79</v>
      </c>
      <c r="AJ404" s="74"/>
      <c r="AK404" s="77"/>
      <c r="AL404" s="40" t="s">
        <v>13</v>
      </c>
      <c r="AM404" s="59">
        <v>0.83</v>
      </c>
      <c r="AN404" s="59">
        <v>0.79</v>
      </c>
      <c r="AO404" s="59">
        <v>0.9</v>
      </c>
      <c r="AP404" s="59">
        <v>0.88</v>
      </c>
      <c r="AQ404" s="59">
        <v>0.85</v>
      </c>
      <c r="AR404" s="59">
        <v>0.84</v>
      </c>
      <c r="AS404" s="59">
        <v>0.79</v>
      </c>
      <c r="AT404" s="59">
        <v>0.72</v>
      </c>
    </row>
    <row r="405" spans="26:46" ht="15" thickBot="1" x14ac:dyDescent="0.4">
      <c r="Z405" t="s">
        <v>147</v>
      </c>
      <c r="AA405" s="58">
        <v>0.83</v>
      </c>
      <c r="AB405" s="58">
        <v>0.82</v>
      </c>
      <c r="AC405" s="58">
        <v>0.89</v>
      </c>
      <c r="AD405" s="58">
        <v>0.87</v>
      </c>
      <c r="AE405" s="58">
        <v>0.87</v>
      </c>
      <c r="AF405" s="58">
        <v>0.87</v>
      </c>
      <c r="AG405" s="58">
        <v>0.8</v>
      </c>
      <c r="AH405" s="58">
        <v>0.78</v>
      </c>
      <c r="AJ405" s="74"/>
      <c r="AK405" s="77"/>
      <c r="AL405" s="39" t="s">
        <v>12</v>
      </c>
      <c r="AM405" s="58">
        <v>0.84</v>
      </c>
      <c r="AN405" s="58">
        <v>0.82</v>
      </c>
      <c r="AO405" s="58">
        <v>0.91</v>
      </c>
      <c r="AP405" s="58">
        <v>0.88</v>
      </c>
      <c r="AQ405" s="58">
        <v>0.87</v>
      </c>
      <c r="AR405" s="58">
        <v>0.87</v>
      </c>
      <c r="AS405" s="58">
        <v>0.81</v>
      </c>
      <c r="AT405" s="58">
        <v>0.77</v>
      </c>
    </row>
    <row r="406" spans="26:46" ht="15" thickBot="1" x14ac:dyDescent="0.4">
      <c r="Z406" t="s">
        <v>145</v>
      </c>
      <c r="AA406" s="59">
        <v>0.85</v>
      </c>
      <c r="AB406" s="65">
        <v>0.83</v>
      </c>
      <c r="AC406" s="59">
        <v>0.89</v>
      </c>
      <c r="AD406" s="59">
        <v>0.86</v>
      </c>
      <c r="AE406" s="59">
        <v>0.9</v>
      </c>
      <c r="AF406" s="59">
        <v>0.9</v>
      </c>
      <c r="AG406" s="59">
        <v>0.83</v>
      </c>
      <c r="AH406" s="65">
        <v>0.8</v>
      </c>
      <c r="AJ406" s="74"/>
      <c r="AK406" s="77"/>
      <c r="AL406" s="41" t="s">
        <v>113</v>
      </c>
      <c r="AM406" s="59">
        <v>0.74</v>
      </c>
      <c r="AN406" s="59">
        <v>0.75</v>
      </c>
      <c r="AO406" s="59">
        <v>0.85</v>
      </c>
      <c r="AP406" s="59">
        <v>0.85</v>
      </c>
      <c r="AQ406" s="62">
        <v>0.78</v>
      </c>
      <c r="AR406" s="62">
        <v>0.81</v>
      </c>
      <c r="AS406" s="62">
        <v>0.68</v>
      </c>
      <c r="AT406" s="62">
        <v>0.68</v>
      </c>
    </row>
    <row r="407" spans="26:46" ht="15" thickBot="1" x14ac:dyDescent="0.4">
      <c r="Z407" t="s">
        <v>144</v>
      </c>
      <c r="AA407" s="58">
        <v>0.87</v>
      </c>
      <c r="AB407" s="58">
        <v>0.83</v>
      </c>
      <c r="AC407" s="58">
        <v>0.92</v>
      </c>
      <c r="AD407" s="58">
        <v>0.89</v>
      </c>
      <c r="AE407" s="63">
        <v>0.9</v>
      </c>
      <c r="AF407" s="63">
        <v>0.88</v>
      </c>
      <c r="AG407" s="63">
        <v>0.85</v>
      </c>
      <c r="AH407" s="64">
        <v>0.79</v>
      </c>
      <c r="AJ407" s="74"/>
      <c r="AK407" s="78"/>
      <c r="AL407" s="39" t="s">
        <v>11</v>
      </c>
      <c r="AM407" s="58">
        <v>0.83</v>
      </c>
      <c r="AN407" s="61">
        <v>0.83</v>
      </c>
      <c r="AO407" s="58">
        <v>0.9</v>
      </c>
      <c r="AP407" s="58">
        <v>0.89</v>
      </c>
      <c r="AQ407" s="63">
        <v>0.85</v>
      </c>
      <c r="AR407" s="63">
        <v>0.87</v>
      </c>
      <c r="AS407" s="63">
        <v>0.8</v>
      </c>
      <c r="AT407" s="63">
        <v>0.78</v>
      </c>
    </row>
    <row r="408" spans="26:46" ht="15" thickBot="1" x14ac:dyDescent="0.4">
      <c r="Z408" t="s">
        <v>146</v>
      </c>
      <c r="AA408" s="58">
        <v>0.83</v>
      </c>
      <c r="AB408" s="58">
        <v>0.8</v>
      </c>
      <c r="AC408" s="58">
        <v>0.86</v>
      </c>
      <c r="AD408" s="58">
        <v>0.83</v>
      </c>
      <c r="AE408" s="58">
        <v>0.88</v>
      </c>
      <c r="AF408" s="58">
        <v>0.86</v>
      </c>
      <c r="AG408" s="58">
        <v>0.8</v>
      </c>
      <c r="AH408" s="58">
        <v>0.74</v>
      </c>
      <c r="AJ408" s="74"/>
      <c r="AK408" s="76" t="s">
        <v>134</v>
      </c>
      <c r="AL408" s="39" t="s">
        <v>14</v>
      </c>
      <c r="AM408" s="58">
        <v>0.87</v>
      </c>
      <c r="AN408" s="58">
        <v>0.82</v>
      </c>
      <c r="AO408" s="58">
        <v>0.91</v>
      </c>
      <c r="AP408" s="58">
        <v>0.88</v>
      </c>
      <c r="AQ408" s="58">
        <v>0.9</v>
      </c>
      <c r="AR408" s="58">
        <v>0.88</v>
      </c>
      <c r="AS408" s="58">
        <v>0.85</v>
      </c>
      <c r="AT408" s="58">
        <v>0.78</v>
      </c>
    </row>
    <row r="409" spans="26:46" ht="15" thickBot="1" x14ac:dyDescent="0.4">
      <c r="AJ409" s="74"/>
      <c r="AK409" s="77"/>
      <c r="AL409" s="40" t="s">
        <v>13</v>
      </c>
      <c r="AM409" s="59">
        <v>0.85</v>
      </c>
      <c r="AN409" s="59">
        <v>0.81</v>
      </c>
      <c r="AO409" s="59">
        <v>0.89</v>
      </c>
      <c r="AP409" s="59">
        <v>0.86</v>
      </c>
      <c r="AQ409" s="59">
        <v>0.89</v>
      </c>
      <c r="AR409" s="59">
        <v>0.88</v>
      </c>
      <c r="AS409" s="59">
        <v>0.83</v>
      </c>
      <c r="AT409" s="59">
        <v>0.77</v>
      </c>
    </row>
    <row r="410" spans="26:46" ht="15" thickBot="1" x14ac:dyDescent="0.4">
      <c r="AJ410" s="74"/>
      <c r="AK410" s="77"/>
      <c r="AL410" s="39" t="s">
        <v>12</v>
      </c>
      <c r="AM410" s="58">
        <v>0.89</v>
      </c>
      <c r="AN410" s="58">
        <v>0.82</v>
      </c>
      <c r="AO410" s="58">
        <v>0.92</v>
      </c>
      <c r="AP410" s="58">
        <v>0.88</v>
      </c>
      <c r="AQ410" s="58">
        <v>0.91</v>
      </c>
      <c r="AR410" s="58">
        <v>0.87</v>
      </c>
      <c r="AS410" s="58">
        <v>0.87</v>
      </c>
      <c r="AT410" s="58">
        <v>0.78</v>
      </c>
    </row>
    <row r="411" spans="26:46" ht="15" thickBot="1" x14ac:dyDescent="0.4">
      <c r="AA411" s="87" t="s">
        <v>8</v>
      </c>
      <c r="AB411" s="86"/>
      <c r="AJ411" s="74"/>
      <c r="AK411" s="77"/>
      <c r="AL411" s="41" t="s">
        <v>113</v>
      </c>
      <c r="AM411" s="59">
        <v>0.76</v>
      </c>
      <c r="AN411" s="59">
        <v>0.77</v>
      </c>
      <c r="AO411" s="59">
        <v>0.79</v>
      </c>
      <c r="AP411" s="59">
        <v>0.8</v>
      </c>
      <c r="AQ411" s="62">
        <v>0.85</v>
      </c>
      <c r="AR411" s="62">
        <v>0.88</v>
      </c>
      <c r="AS411" s="62">
        <v>0.73</v>
      </c>
      <c r="AT411" s="62">
        <v>0.74</v>
      </c>
    </row>
    <row r="412" spans="26:46" ht="15" thickBot="1" x14ac:dyDescent="0.4">
      <c r="AA412" s="37" t="s">
        <v>5</v>
      </c>
      <c r="AB412" s="37" t="s">
        <v>6</v>
      </c>
      <c r="AJ412" s="74"/>
      <c r="AK412" s="78"/>
      <c r="AL412" s="39" t="s">
        <v>11</v>
      </c>
      <c r="AM412" s="58">
        <v>0.87</v>
      </c>
      <c r="AN412" s="61">
        <v>0.83</v>
      </c>
      <c r="AO412" s="58">
        <v>0.92</v>
      </c>
      <c r="AP412" s="58">
        <v>0.89</v>
      </c>
      <c r="AQ412" s="63">
        <v>0.9</v>
      </c>
      <c r="AR412" s="63">
        <v>0.88</v>
      </c>
      <c r="AS412" s="63">
        <v>0.85</v>
      </c>
      <c r="AT412" s="64">
        <v>0.79</v>
      </c>
    </row>
    <row r="413" spans="26:46" ht="15" thickBot="1" x14ac:dyDescent="0.4">
      <c r="Z413" t="s">
        <v>145</v>
      </c>
      <c r="AA413" s="59">
        <v>0.83</v>
      </c>
      <c r="AB413" s="65">
        <v>0.8</v>
      </c>
      <c r="AJ413" s="74"/>
      <c r="AK413" s="76" t="s">
        <v>135</v>
      </c>
      <c r="AL413" s="39" t="s">
        <v>14</v>
      </c>
      <c r="AM413" s="58">
        <v>0.87</v>
      </c>
      <c r="AN413" s="58">
        <v>0.82</v>
      </c>
      <c r="AO413" s="58">
        <v>0.91</v>
      </c>
      <c r="AP413" s="58">
        <v>0.88</v>
      </c>
      <c r="AQ413" s="58">
        <v>0.9</v>
      </c>
      <c r="AR413" s="58">
        <v>0.88</v>
      </c>
      <c r="AS413" s="58">
        <v>0.85</v>
      </c>
      <c r="AT413" s="58">
        <v>0.78</v>
      </c>
    </row>
    <row r="414" spans="26:46" ht="15" thickBot="1" x14ac:dyDescent="0.4">
      <c r="Z414" t="s">
        <v>142</v>
      </c>
      <c r="AA414" s="63">
        <v>0.85</v>
      </c>
      <c r="AB414" s="64">
        <v>0.79</v>
      </c>
      <c r="AJ414" s="74"/>
      <c r="AK414" s="77"/>
      <c r="AL414" s="40" t="s">
        <v>13</v>
      </c>
      <c r="AM414" s="59">
        <v>0.85</v>
      </c>
      <c r="AN414" s="59">
        <v>0.81</v>
      </c>
      <c r="AO414" s="59">
        <v>0.89</v>
      </c>
      <c r="AP414" s="59">
        <v>0.86</v>
      </c>
      <c r="AQ414" s="59">
        <v>0.89</v>
      </c>
      <c r="AR414" s="59">
        <v>0.88</v>
      </c>
      <c r="AS414" s="59">
        <v>0.83</v>
      </c>
      <c r="AT414" s="59">
        <v>0.77</v>
      </c>
    </row>
    <row r="415" spans="26:46" ht="15" thickBot="1" x14ac:dyDescent="0.4">
      <c r="Z415" t="s">
        <v>144</v>
      </c>
      <c r="AA415" s="63">
        <v>0.85</v>
      </c>
      <c r="AB415" s="64">
        <v>0.79</v>
      </c>
      <c r="AJ415" s="74"/>
      <c r="AK415" s="77"/>
      <c r="AL415" s="39" t="s">
        <v>12</v>
      </c>
      <c r="AM415" s="58">
        <v>0.89</v>
      </c>
      <c r="AN415" s="58">
        <v>0.82</v>
      </c>
      <c r="AO415" s="58">
        <v>0.92</v>
      </c>
      <c r="AP415" s="58">
        <v>0.88</v>
      </c>
      <c r="AQ415" s="58">
        <v>0.91</v>
      </c>
      <c r="AR415" s="58">
        <v>0.87</v>
      </c>
      <c r="AS415" s="58">
        <v>0.87</v>
      </c>
      <c r="AT415" s="58">
        <v>0.78</v>
      </c>
    </row>
    <row r="416" spans="26:46" ht="15" thickBot="1" x14ac:dyDescent="0.4">
      <c r="Z416" t="s">
        <v>143</v>
      </c>
      <c r="AA416" s="58">
        <v>0.8</v>
      </c>
      <c r="AB416" s="58">
        <v>0.78</v>
      </c>
      <c r="AJ416" s="74"/>
      <c r="AK416" s="77"/>
      <c r="AL416" s="41" t="s">
        <v>113</v>
      </c>
      <c r="AM416" s="59">
        <v>0.76</v>
      </c>
      <c r="AN416" s="59">
        <v>0.77</v>
      </c>
      <c r="AO416" s="59">
        <v>0.79</v>
      </c>
      <c r="AP416" s="59">
        <v>0.8</v>
      </c>
      <c r="AQ416" s="62">
        <v>0.85</v>
      </c>
      <c r="AR416" s="62">
        <v>0.88</v>
      </c>
      <c r="AS416" s="62">
        <v>0.73</v>
      </c>
      <c r="AT416" s="62">
        <v>0.74</v>
      </c>
    </row>
    <row r="417" spans="26:46" ht="15" thickBot="1" x14ac:dyDescent="0.4">
      <c r="Z417" t="s">
        <v>146</v>
      </c>
      <c r="AA417" s="58">
        <v>0.8</v>
      </c>
      <c r="AB417" s="58">
        <v>0.74</v>
      </c>
      <c r="AJ417" s="74"/>
      <c r="AK417" s="78"/>
      <c r="AL417" s="39" t="s">
        <v>11</v>
      </c>
      <c r="AM417" s="58">
        <v>0.87</v>
      </c>
      <c r="AN417" s="58">
        <v>0.83</v>
      </c>
      <c r="AO417" s="58">
        <v>0.92</v>
      </c>
      <c r="AP417" s="58">
        <v>0.89</v>
      </c>
      <c r="AQ417" s="63">
        <v>0.9</v>
      </c>
      <c r="AR417" s="63">
        <v>0.88</v>
      </c>
      <c r="AS417" s="63">
        <v>0.85</v>
      </c>
      <c r="AT417" s="64">
        <v>0.79</v>
      </c>
    </row>
    <row r="418" spans="26:46" ht="15" thickBot="1" x14ac:dyDescent="0.4">
      <c r="AJ418" s="74"/>
      <c r="AK418" s="79" t="s">
        <v>105</v>
      </c>
      <c r="AL418" s="39" t="s">
        <v>14</v>
      </c>
      <c r="AM418" s="69">
        <v>0.96</v>
      </c>
      <c r="AN418" s="69">
        <v>0.81</v>
      </c>
      <c r="AO418" s="69">
        <v>0.98</v>
      </c>
      <c r="AP418" s="69">
        <v>0.88</v>
      </c>
      <c r="AQ418" s="69">
        <v>0.97</v>
      </c>
      <c r="AR418" s="69">
        <v>0.86</v>
      </c>
      <c r="AS418" s="69">
        <v>0.96</v>
      </c>
      <c r="AT418" s="69">
        <v>0.76</v>
      </c>
    </row>
    <row r="419" spans="26:46" ht="15" thickBot="1" x14ac:dyDescent="0.4">
      <c r="AJ419" s="74"/>
      <c r="AK419" s="80"/>
      <c r="AL419" s="40" t="s">
        <v>13</v>
      </c>
      <c r="AM419" s="59">
        <v>0.85</v>
      </c>
      <c r="AN419" s="65">
        <v>0.83</v>
      </c>
      <c r="AO419" s="59">
        <v>0.89</v>
      </c>
      <c r="AP419" s="59">
        <v>0.86</v>
      </c>
      <c r="AQ419" s="59">
        <v>0.9</v>
      </c>
      <c r="AR419" s="59">
        <v>0.9</v>
      </c>
      <c r="AS419" s="59">
        <v>0.83</v>
      </c>
      <c r="AT419" s="65">
        <v>0.8</v>
      </c>
    </row>
    <row r="420" spans="26:46" ht="15" thickBot="1" x14ac:dyDescent="0.4">
      <c r="AJ420" s="74"/>
      <c r="AK420" s="80"/>
      <c r="AL420" s="39" t="s">
        <v>12</v>
      </c>
      <c r="AM420" s="58">
        <v>0.84</v>
      </c>
      <c r="AN420" s="58" t="s">
        <v>47</v>
      </c>
      <c r="AO420" s="58">
        <v>0.89</v>
      </c>
      <c r="AP420" s="58" t="s">
        <v>43</v>
      </c>
      <c r="AQ420" s="58">
        <v>0.88</v>
      </c>
      <c r="AR420" s="58" t="s">
        <v>35</v>
      </c>
      <c r="AS420" s="58" t="s">
        <v>30</v>
      </c>
      <c r="AT420" s="58" t="s">
        <v>31</v>
      </c>
    </row>
    <row r="421" spans="26:46" ht="15" thickBot="1" x14ac:dyDescent="0.4">
      <c r="AJ421" s="74"/>
      <c r="AK421" s="80"/>
      <c r="AL421" s="41" t="s">
        <v>113</v>
      </c>
      <c r="AM421" s="59">
        <v>0.71</v>
      </c>
      <c r="AN421" s="59" t="s">
        <v>75</v>
      </c>
      <c r="AO421" s="59" t="s">
        <v>31</v>
      </c>
      <c r="AP421" s="59" t="s">
        <v>85</v>
      </c>
      <c r="AQ421" s="59" t="s">
        <v>30</v>
      </c>
      <c r="AR421" s="62" t="s">
        <v>29</v>
      </c>
      <c r="AS421" s="62" t="s">
        <v>45</v>
      </c>
      <c r="AT421" s="62" t="s">
        <v>44</v>
      </c>
    </row>
    <row r="422" spans="26:46" ht="15" thickBot="1" x14ac:dyDescent="0.4">
      <c r="AJ422" s="74"/>
      <c r="AK422" s="81"/>
      <c r="AL422" s="39" t="s">
        <v>11</v>
      </c>
      <c r="AM422" s="58" t="s">
        <v>37</v>
      </c>
      <c r="AN422" s="61" t="s">
        <v>64</v>
      </c>
      <c r="AO422" s="58" t="s">
        <v>72</v>
      </c>
      <c r="AP422" s="58" t="s">
        <v>34</v>
      </c>
      <c r="AQ422" s="58" t="s">
        <v>35</v>
      </c>
      <c r="AR422" s="63" t="s">
        <v>35</v>
      </c>
      <c r="AS422" s="63" t="s">
        <v>30</v>
      </c>
      <c r="AT422" s="63" t="s">
        <v>54</v>
      </c>
    </row>
    <row r="423" spans="26:46" ht="15" thickBot="1" x14ac:dyDescent="0.4">
      <c r="AJ423" s="74"/>
      <c r="AK423" s="82" t="s">
        <v>114</v>
      </c>
      <c r="AL423" s="47" t="s">
        <v>14</v>
      </c>
      <c r="AM423" s="68">
        <v>0.88</v>
      </c>
      <c r="AN423" s="67">
        <v>0.79</v>
      </c>
      <c r="AO423" s="68">
        <v>0.9</v>
      </c>
      <c r="AP423" s="68">
        <v>0.84</v>
      </c>
      <c r="AQ423" s="68">
        <v>0.92</v>
      </c>
      <c r="AR423" s="68">
        <v>0.86</v>
      </c>
      <c r="AS423" s="68">
        <v>0.86</v>
      </c>
      <c r="AT423" s="68">
        <v>0.74</v>
      </c>
    </row>
    <row r="424" spans="26:46" ht="15" thickBot="1" x14ac:dyDescent="0.4">
      <c r="AJ424" s="74"/>
      <c r="AK424" s="83"/>
      <c r="AL424" s="39" t="s">
        <v>13</v>
      </c>
      <c r="AM424" s="58">
        <v>0.83</v>
      </c>
      <c r="AN424" s="58">
        <v>0.8</v>
      </c>
      <c r="AO424" s="58">
        <v>0.86</v>
      </c>
      <c r="AP424" s="58">
        <v>0.83</v>
      </c>
      <c r="AQ424" s="58">
        <v>0.88</v>
      </c>
      <c r="AR424" s="58">
        <v>0.86</v>
      </c>
      <c r="AS424" s="58">
        <v>0.8</v>
      </c>
      <c r="AT424" s="58">
        <v>0.74</v>
      </c>
    </row>
    <row r="425" spans="26:46" ht="15" thickBot="1" x14ac:dyDescent="0.4">
      <c r="AJ425" s="74"/>
      <c r="AK425" s="83"/>
      <c r="AL425" s="47" t="s">
        <v>12</v>
      </c>
      <c r="AM425" s="68">
        <v>0.82</v>
      </c>
      <c r="AN425" s="68">
        <v>0.78</v>
      </c>
      <c r="AO425" s="68">
        <v>0.86</v>
      </c>
      <c r="AP425" s="68">
        <v>0.84</v>
      </c>
      <c r="AQ425" s="68">
        <v>0.87</v>
      </c>
      <c r="AR425" s="68">
        <v>0.86</v>
      </c>
      <c r="AS425" s="68">
        <v>0.79</v>
      </c>
      <c r="AT425" s="68">
        <v>0.73</v>
      </c>
    </row>
    <row r="426" spans="26:46" ht="15" thickBot="1" x14ac:dyDescent="0.4">
      <c r="AJ426" s="74"/>
      <c r="AK426" s="83"/>
      <c r="AL426" s="39" t="s">
        <v>113</v>
      </c>
      <c r="AM426" s="58">
        <v>0.73</v>
      </c>
      <c r="AN426" s="58">
        <v>0.7</v>
      </c>
      <c r="AO426" s="58">
        <v>0.77</v>
      </c>
      <c r="AP426" s="58">
        <v>0.71</v>
      </c>
      <c r="AQ426" s="58">
        <v>0.86</v>
      </c>
      <c r="AR426" s="58">
        <v>0.86</v>
      </c>
      <c r="AS426" s="58">
        <v>0.73</v>
      </c>
      <c r="AT426" s="58">
        <v>0.67</v>
      </c>
    </row>
    <row r="427" spans="26:46" ht="15" thickBot="1" x14ac:dyDescent="0.4">
      <c r="AA427" s="87" t="s">
        <v>8</v>
      </c>
      <c r="AB427" s="86"/>
      <c r="AJ427" s="75"/>
      <c r="AK427" s="84"/>
      <c r="AL427" s="47" t="s">
        <v>11</v>
      </c>
      <c r="AM427" s="68">
        <v>0.81</v>
      </c>
      <c r="AN427" s="68">
        <v>0.78</v>
      </c>
      <c r="AO427" s="68">
        <v>0.88</v>
      </c>
      <c r="AP427" s="68">
        <v>0.85</v>
      </c>
      <c r="AQ427" s="68">
        <v>0.85</v>
      </c>
      <c r="AR427" s="68">
        <v>0.85</v>
      </c>
      <c r="AS427" s="68">
        <v>0.78</v>
      </c>
      <c r="AT427" s="68">
        <v>0.73</v>
      </c>
    </row>
    <row r="428" spans="26:46" ht="15" thickBot="1" x14ac:dyDescent="0.4">
      <c r="AA428" s="37" t="s">
        <v>5</v>
      </c>
      <c r="AB428" s="37" t="s">
        <v>6</v>
      </c>
    </row>
    <row r="429" spans="26:46" ht="15" thickBot="1" x14ac:dyDescent="0.4">
      <c r="Z429" t="s">
        <v>145</v>
      </c>
      <c r="AA429" s="59">
        <v>0.83</v>
      </c>
      <c r="AB429" s="65">
        <v>0.8</v>
      </c>
    </row>
    <row r="430" spans="26:46" ht="15" thickBot="1" x14ac:dyDescent="0.4">
      <c r="Z430" t="s">
        <v>117</v>
      </c>
      <c r="AA430" s="41">
        <v>0.83</v>
      </c>
      <c r="AB430" s="45">
        <v>0.8</v>
      </c>
    </row>
    <row r="438" spans="26:29" x14ac:dyDescent="0.35">
      <c r="AA438" t="s">
        <v>9</v>
      </c>
      <c r="AB438" t="s">
        <v>7</v>
      </c>
      <c r="AC438" t="s">
        <v>148</v>
      </c>
    </row>
    <row r="439" spans="26:29" x14ac:dyDescent="0.35">
      <c r="Z439" s="72" t="s">
        <v>149</v>
      </c>
      <c r="AA439">
        <v>0.91400000000000003</v>
      </c>
      <c r="AB439">
        <v>0.91400000000000003</v>
      </c>
      <c r="AC439">
        <v>0.91400000000000003</v>
      </c>
    </row>
    <row r="440" spans="26:29" x14ac:dyDescent="0.35">
      <c r="Z440" s="72" t="s">
        <v>150</v>
      </c>
      <c r="AA440">
        <v>0.74399999999999999</v>
      </c>
      <c r="AB440">
        <v>0.74399999999999999</v>
      </c>
      <c r="AC440">
        <v>0.74399999999999999</v>
      </c>
    </row>
    <row r="441" spans="26:29" x14ac:dyDescent="0.35">
      <c r="Z441" s="72" t="s">
        <v>151</v>
      </c>
      <c r="AA441">
        <v>0.77100000000000002</v>
      </c>
      <c r="AB441">
        <v>0.77100000000000002</v>
      </c>
      <c r="AC441">
        <v>0.77100000000000002</v>
      </c>
    </row>
    <row r="442" spans="26:29" x14ac:dyDescent="0.35">
      <c r="Z442" s="72" t="s">
        <v>152</v>
      </c>
      <c r="AA442">
        <v>0.85599999999999998</v>
      </c>
      <c r="AB442">
        <v>0.85599999999999998</v>
      </c>
      <c r="AC442">
        <v>0.85599999999999998</v>
      </c>
    </row>
    <row r="443" spans="26:29" x14ac:dyDescent="0.35">
      <c r="Z443" s="72" t="s">
        <v>153</v>
      </c>
      <c r="AA443">
        <v>0.93</v>
      </c>
      <c r="AB443">
        <v>0.93</v>
      </c>
      <c r="AC443">
        <v>0.93</v>
      </c>
    </row>
    <row r="444" spans="26:29" x14ac:dyDescent="0.35">
      <c r="Z444" s="72" t="s">
        <v>154</v>
      </c>
      <c r="AA444">
        <v>0.92500000000000004</v>
      </c>
      <c r="AB444">
        <v>0.92500000000000004</v>
      </c>
      <c r="AC444">
        <v>0.92500000000000004</v>
      </c>
    </row>
  </sheetData>
  <mergeCells count="329">
    <mergeCell ref="K243:L247"/>
    <mergeCell ref="M243:P247"/>
    <mergeCell ref="Q243:R243"/>
    <mergeCell ref="Q244:R244"/>
    <mergeCell ref="Q245:R245"/>
    <mergeCell ref="Q246:R246"/>
    <mergeCell ref="Q247:R247"/>
    <mergeCell ref="K248:L252"/>
    <mergeCell ref="M248:P252"/>
    <mergeCell ref="Q248:R248"/>
    <mergeCell ref="Q249:R249"/>
    <mergeCell ref="Q250:R250"/>
    <mergeCell ref="Q251:R251"/>
    <mergeCell ref="Q252:R252"/>
    <mergeCell ref="K233:L237"/>
    <mergeCell ref="M233:P237"/>
    <mergeCell ref="Q233:R233"/>
    <mergeCell ref="Q234:R234"/>
    <mergeCell ref="Q235:R235"/>
    <mergeCell ref="Q236:R236"/>
    <mergeCell ref="Q237:R237"/>
    <mergeCell ref="K238:L242"/>
    <mergeCell ref="M238:P242"/>
    <mergeCell ref="Q238:R238"/>
    <mergeCell ref="Q239:R239"/>
    <mergeCell ref="Q240:R240"/>
    <mergeCell ref="Q241:R241"/>
    <mergeCell ref="Q242:R242"/>
    <mergeCell ref="K223:L227"/>
    <mergeCell ref="M223:P227"/>
    <mergeCell ref="Q223:R223"/>
    <mergeCell ref="Q224:R224"/>
    <mergeCell ref="Q225:R225"/>
    <mergeCell ref="Q226:R226"/>
    <mergeCell ref="Q227:R227"/>
    <mergeCell ref="K228:L232"/>
    <mergeCell ref="M228:P232"/>
    <mergeCell ref="Q228:R228"/>
    <mergeCell ref="Q229:R229"/>
    <mergeCell ref="Q230:R230"/>
    <mergeCell ref="Q231:R231"/>
    <mergeCell ref="Q232:R232"/>
    <mergeCell ref="K213:L217"/>
    <mergeCell ref="M213:P217"/>
    <mergeCell ref="Q213:R213"/>
    <mergeCell ref="Q214:R214"/>
    <mergeCell ref="Q215:R215"/>
    <mergeCell ref="Q216:R216"/>
    <mergeCell ref="Q217:R217"/>
    <mergeCell ref="K218:L222"/>
    <mergeCell ref="M218:P222"/>
    <mergeCell ref="Q218:R218"/>
    <mergeCell ref="Q219:R219"/>
    <mergeCell ref="Q220:R220"/>
    <mergeCell ref="Q221:R221"/>
    <mergeCell ref="Q222:R222"/>
    <mergeCell ref="K203:L207"/>
    <mergeCell ref="M203:P207"/>
    <mergeCell ref="Q203:R203"/>
    <mergeCell ref="Q204:R204"/>
    <mergeCell ref="Q205:R205"/>
    <mergeCell ref="Q206:R206"/>
    <mergeCell ref="Q207:R207"/>
    <mergeCell ref="K208:L212"/>
    <mergeCell ref="M208:P212"/>
    <mergeCell ref="Q208:R208"/>
    <mergeCell ref="Q209:R209"/>
    <mergeCell ref="Q210:R210"/>
    <mergeCell ref="Q211:R211"/>
    <mergeCell ref="Q212:R212"/>
    <mergeCell ref="K193:L197"/>
    <mergeCell ref="M193:P197"/>
    <mergeCell ref="Q193:R193"/>
    <mergeCell ref="Q194:R194"/>
    <mergeCell ref="Q195:R195"/>
    <mergeCell ref="Q196:R196"/>
    <mergeCell ref="Q197:R197"/>
    <mergeCell ref="K198:L202"/>
    <mergeCell ref="M198:P202"/>
    <mergeCell ref="Q198:R198"/>
    <mergeCell ref="Q199:R199"/>
    <mergeCell ref="Q200:R200"/>
    <mergeCell ref="Q201:R201"/>
    <mergeCell ref="Q202:R202"/>
    <mergeCell ref="K183:L187"/>
    <mergeCell ref="M183:P187"/>
    <mergeCell ref="Q183:R183"/>
    <mergeCell ref="Q184:R184"/>
    <mergeCell ref="Q185:R185"/>
    <mergeCell ref="Q186:R186"/>
    <mergeCell ref="Q187:R187"/>
    <mergeCell ref="K188:L192"/>
    <mergeCell ref="M188:P192"/>
    <mergeCell ref="Q188:R188"/>
    <mergeCell ref="Q189:R189"/>
    <mergeCell ref="Q190:R190"/>
    <mergeCell ref="Q191:R191"/>
    <mergeCell ref="Q192:R192"/>
    <mergeCell ref="M173:P177"/>
    <mergeCell ref="Q173:R173"/>
    <mergeCell ref="Q174:R174"/>
    <mergeCell ref="Q175:R175"/>
    <mergeCell ref="Q176:R176"/>
    <mergeCell ref="Q177:R177"/>
    <mergeCell ref="K178:L182"/>
    <mergeCell ref="M178:P182"/>
    <mergeCell ref="Q178:R178"/>
    <mergeCell ref="Q179:R179"/>
    <mergeCell ref="Q180:R180"/>
    <mergeCell ref="Q181:R181"/>
    <mergeCell ref="Q182:R182"/>
    <mergeCell ref="D8:D27"/>
    <mergeCell ref="E13:F17"/>
    <mergeCell ref="G13:J17"/>
    <mergeCell ref="E18:F22"/>
    <mergeCell ref="G18:J22"/>
    <mergeCell ref="E23:F27"/>
    <mergeCell ref="K23:L23"/>
    <mergeCell ref="K27:L27"/>
    <mergeCell ref="K173:L177"/>
    <mergeCell ref="K25:L25"/>
    <mergeCell ref="K26:L26"/>
    <mergeCell ref="K20:L20"/>
    <mergeCell ref="K21:L21"/>
    <mergeCell ref="K22:L22"/>
    <mergeCell ref="G23:J27"/>
    <mergeCell ref="G8:J12"/>
    <mergeCell ref="E8:F12"/>
    <mergeCell ref="K8:L8"/>
    <mergeCell ref="K9:L9"/>
    <mergeCell ref="K12:L12"/>
    <mergeCell ref="K13:L13"/>
    <mergeCell ref="K14:L14"/>
    <mergeCell ref="K15:L15"/>
    <mergeCell ref="K16:L16"/>
    <mergeCell ref="D2:T2"/>
    <mergeCell ref="E5:F5"/>
    <mergeCell ref="G5:J5"/>
    <mergeCell ref="E6:F7"/>
    <mergeCell ref="D6:D7"/>
    <mergeCell ref="D3:T4"/>
    <mergeCell ref="K5:L5"/>
    <mergeCell ref="K6:L7"/>
    <mergeCell ref="G6:J7"/>
    <mergeCell ref="M5:T5"/>
    <mergeCell ref="M6:N6"/>
    <mergeCell ref="O6:P6"/>
    <mergeCell ref="Q6:R6"/>
    <mergeCell ref="S6:T6"/>
    <mergeCell ref="K17:L17"/>
    <mergeCell ref="K18:L18"/>
    <mergeCell ref="K19:L19"/>
    <mergeCell ref="K24:L24"/>
    <mergeCell ref="K10:L10"/>
    <mergeCell ref="K11:L11"/>
    <mergeCell ref="D28:D47"/>
    <mergeCell ref="E28:F32"/>
    <mergeCell ref="G28:J32"/>
    <mergeCell ref="K28:L28"/>
    <mergeCell ref="K29:L29"/>
    <mergeCell ref="K30:L30"/>
    <mergeCell ref="K31:L31"/>
    <mergeCell ref="K32:L32"/>
    <mergeCell ref="E33:F37"/>
    <mergeCell ref="G33:J37"/>
    <mergeCell ref="K33:L33"/>
    <mergeCell ref="K34:L34"/>
    <mergeCell ref="K35:L35"/>
    <mergeCell ref="K36:L36"/>
    <mergeCell ref="K37:L37"/>
    <mergeCell ref="E38:F42"/>
    <mergeCell ref="E43:F47"/>
    <mergeCell ref="G43:J47"/>
    <mergeCell ref="D48:D67"/>
    <mergeCell ref="E48:F52"/>
    <mergeCell ref="G48:J52"/>
    <mergeCell ref="K48:L48"/>
    <mergeCell ref="K49:L49"/>
    <mergeCell ref="K50:L50"/>
    <mergeCell ref="K51:L51"/>
    <mergeCell ref="K52:L52"/>
    <mergeCell ref="E53:F57"/>
    <mergeCell ref="G53:J57"/>
    <mergeCell ref="K53:L53"/>
    <mergeCell ref="K54:L54"/>
    <mergeCell ref="K55:L55"/>
    <mergeCell ref="K56:L56"/>
    <mergeCell ref="K57:L57"/>
    <mergeCell ref="E58:F62"/>
    <mergeCell ref="E63:F67"/>
    <mergeCell ref="G63:J67"/>
    <mergeCell ref="K63:L63"/>
    <mergeCell ref="G58:J62"/>
    <mergeCell ref="K58:L58"/>
    <mergeCell ref="K59:L59"/>
    <mergeCell ref="K60:L60"/>
    <mergeCell ref="K61:L61"/>
    <mergeCell ref="K62:L62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G38:J42"/>
    <mergeCell ref="K64:L64"/>
    <mergeCell ref="K65:L65"/>
    <mergeCell ref="K66:L66"/>
    <mergeCell ref="K67:L67"/>
    <mergeCell ref="K78:L78"/>
    <mergeCell ref="K79:L79"/>
    <mergeCell ref="K80:L80"/>
    <mergeCell ref="K81:L81"/>
    <mergeCell ref="K82:L82"/>
    <mergeCell ref="D68:D87"/>
    <mergeCell ref="E68:F72"/>
    <mergeCell ref="G68:J72"/>
    <mergeCell ref="K68:L68"/>
    <mergeCell ref="K69:L69"/>
    <mergeCell ref="K70:L70"/>
    <mergeCell ref="K71:L71"/>
    <mergeCell ref="K72:L72"/>
    <mergeCell ref="E73:F77"/>
    <mergeCell ref="G73:J77"/>
    <mergeCell ref="K73:L73"/>
    <mergeCell ref="K74:L74"/>
    <mergeCell ref="K75:L75"/>
    <mergeCell ref="K76:L76"/>
    <mergeCell ref="K77:L77"/>
    <mergeCell ref="E78:F82"/>
    <mergeCell ref="E83:F87"/>
    <mergeCell ref="G83:J87"/>
    <mergeCell ref="K83:L83"/>
    <mergeCell ref="K87:L87"/>
    <mergeCell ref="G78:J82"/>
    <mergeCell ref="K84:L84"/>
    <mergeCell ref="K85:L85"/>
    <mergeCell ref="K86:L86"/>
    <mergeCell ref="AJ132:AQ132"/>
    <mergeCell ref="AG133:AG134"/>
    <mergeCell ref="AH133:AH134"/>
    <mergeCell ref="AI133:AI134"/>
    <mergeCell ref="AJ133:AK133"/>
    <mergeCell ref="AL133:AM133"/>
    <mergeCell ref="AN133:AO133"/>
    <mergeCell ref="AP133:AQ133"/>
    <mergeCell ref="AG135:AG159"/>
    <mergeCell ref="AH135:AH139"/>
    <mergeCell ref="AH140:AH144"/>
    <mergeCell ref="AH145:AH149"/>
    <mergeCell ref="AH150:AH154"/>
    <mergeCell ref="AH155:AH159"/>
    <mergeCell ref="AN276:AO276"/>
    <mergeCell ref="AP276:AQ276"/>
    <mergeCell ref="AR276:AS276"/>
    <mergeCell ref="AT276:AU276"/>
    <mergeCell ref="AA276:AB276"/>
    <mergeCell ref="AC276:AD276"/>
    <mergeCell ref="AE276:AF276"/>
    <mergeCell ref="AG276:AH276"/>
    <mergeCell ref="X139:Y139"/>
    <mergeCell ref="Z139:AA139"/>
    <mergeCell ref="AB139:AC139"/>
    <mergeCell ref="AD139:AE139"/>
    <mergeCell ref="X148:Y148"/>
    <mergeCell ref="Z148:AA148"/>
    <mergeCell ref="AB148:AC148"/>
    <mergeCell ref="AD148:AE148"/>
    <mergeCell ref="X156:Y156"/>
    <mergeCell ref="AE287:AF287"/>
    <mergeCell ref="AC263:AD263"/>
    <mergeCell ref="AE263:AF263"/>
    <mergeCell ref="AG263:AH263"/>
    <mergeCell ref="AI263:AJ263"/>
    <mergeCell ref="AF270:AG270"/>
    <mergeCell ref="AQ341:AX341"/>
    <mergeCell ref="AN342:AN343"/>
    <mergeCell ref="AO342:AO343"/>
    <mergeCell ref="AP342:AP343"/>
    <mergeCell ref="AQ342:AR342"/>
    <mergeCell ref="AS342:AT342"/>
    <mergeCell ref="AU342:AV342"/>
    <mergeCell ref="AW342:AX342"/>
    <mergeCell ref="AK278:AK302"/>
    <mergeCell ref="AL278:AL282"/>
    <mergeCell ref="AL283:AL287"/>
    <mergeCell ref="AL288:AL292"/>
    <mergeCell ref="AL293:AL297"/>
    <mergeCell ref="AL298:AL302"/>
    <mergeCell ref="AN275:AU275"/>
    <mergeCell ref="AK276:AK277"/>
    <mergeCell ref="AL276:AL277"/>
    <mergeCell ref="AM276:AM277"/>
    <mergeCell ref="AN344:AN368"/>
    <mergeCell ref="AO344:AO348"/>
    <mergeCell ref="AO349:AO353"/>
    <mergeCell ref="AO354:AO358"/>
    <mergeCell ref="AO359:AO363"/>
    <mergeCell ref="AO364:AO368"/>
    <mergeCell ref="AC343:AD343"/>
    <mergeCell ref="AE343:AF343"/>
    <mergeCell ref="AG343:AH343"/>
    <mergeCell ref="AI343:AJ343"/>
    <mergeCell ref="AI355:AJ355"/>
    <mergeCell ref="AI375:AJ375"/>
    <mergeCell ref="AM400:AT400"/>
    <mergeCell ref="AJ401:AJ402"/>
    <mergeCell ref="AK401:AK402"/>
    <mergeCell ref="AL401:AL402"/>
    <mergeCell ref="AM401:AN401"/>
    <mergeCell ref="AO401:AP401"/>
    <mergeCell ref="AQ401:AR401"/>
    <mergeCell ref="AS401:AT401"/>
    <mergeCell ref="AJ403:AJ427"/>
    <mergeCell ref="AK403:AK407"/>
    <mergeCell ref="AK408:AK412"/>
    <mergeCell ref="AK413:AK417"/>
    <mergeCell ref="AK418:AK422"/>
    <mergeCell ref="AK423:AK427"/>
    <mergeCell ref="AA402:AB402"/>
    <mergeCell ref="AC402:AD402"/>
    <mergeCell ref="AE402:AF402"/>
    <mergeCell ref="AG402:AH402"/>
    <mergeCell ref="AA411:AB411"/>
    <mergeCell ref="AA427:AB42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2025-08-04T18:33:39Z</dcterms:modified>
</cp:coreProperties>
</file>