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activeTab="1"/>
  </bookViews>
  <sheets>
    <sheet name="hdbscan-offline" sheetId="9" r:id="rId1"/>
    <sheet name="offline" sheetId="5" r:id="rId2"/>
    <sheet name="ورقة2" sheetId="8" r:id="rId3"/>
    <sheet name="Sheet1 (2)" sheetId="3" r:id="rId4"/>
    <sheet name="exp1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19" i="3" l="1"/>
  <c r="AK92" i="3"/>
  <c r="AL92" i="3"/>
  <c r="AM92" i="3"/>
  <c r="AN92" i="3"/>
  <c r="AO92" i="3"/>
  <c r="AP92" i="3"/>
  <c r="AQ92" i="3"/>
  <c r="AR92" i="3"/>
  <c r="AS92" i="3"/>
  <c r="AT92" i="3"/>
  <c r="AU92" i="3"/>
  <c r="AJ92" i="3"/>
  <c r="AP99" i="3"/>
  <c r="AQ99" i="3"/>
  <c r="AR99" i="3"/>
  <c r="AS99" i="3"/>
  <c r="AT99" i="3"/>
  <c r="AU99" i="3"/>
  <c r="AV99" i="3"/>
  <c r="AO99" i="3"/>
  <c r="AN99" i="3"/>
  <c r="AM99" i="3"/>
  <c r="AK99" i="3"/>
  <c r="AL99" i="3"/>
  <c r="AJ99" i="3"/>
  <c r="AJ111" i="3"/>
  <c r="AK82" i="3"/>
  <c r="AK119" i="3"/>
  <c r="AL119" i="3"/>
  <c r="AM119" i="3"/>
  <c r="AN119" i="3"/>
  <c r="AO119" i="3"/>
  <c r="AP119" i="3"/>
  <c r="AQ119" i="3"/>
  <c r="AS119" i="3"/>
  <c r="AT119" i="3"/>
  <c r="AU119" i="3"/>
  <c r="AV119" i="3"/>
  <c r="AJ119" i="3"/>
  <c r="AJ75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J81" i="3"/>
  <c r="AK111" i="3"/>
  <c r="AU111" i="3"/>
  <c r="AT111" i="3"/>
  <c r="AS111" i="3"/>
  <c r="AR111" i="3"/>
  <c r="AQ111" i="3"/>
  <c r="AP111" i="3"/>
  <c r="AO111" i="3"/>
  <c r="AN111" i="3"/>
  <c r="AM111" i="3"/>
  <c r="AL111" i="3"/>
  <c r="AK75" i="3"/>
  <c r="AL75" i="3"/>
  <c r="AM75" i="3"/>
  <c r="AN75" i="3"/>
  <c r="AO75" i="3"/>
  <c r="AP75" i="3"/>
  <c r="AQ75" i="3"/>
  <c r="AR75" i="3"/>
  <c r="AS75" i="3"/>
  <c r="AT75" i="3"/>
  <c r="AU75" i="3"/>
</calcChain>
</file>

<file path=xl/sharedStrings.xml><?xml version="1.0" encoding="utf-8"?>
<sst xmlns="http://schemas.openxmlformats.org/spreadsheetml/2006/main" count="472" uniqueCount="176">
  <si>
    <t>#</t>
  </si>
  <si>
    <t>Name</t>
  </si>
  <si>
    <t>Description</t>
  </si>
  <si>
    <t>results</t>
  </si>
  <si>
    <t>Logistic Regression</t>
  </si>
  <si>
    <t>SVM</t>
  </si>
  <si>
    <t>KNN</t>
  </si>
  <si>
    <t>Neural Network</t>
  </si>
  <si>
    <t>Event Detection and Monitoring in Social Media Stream</t>
  </si>
  <si>
    <t>Event Filtering Stage</t>
  </si>
  <si>
    <t>Exp. 1</t>
  </si>
  <si>
    <t xml:space="preserve"> Bert Embeddig</t>
  </si>
  <si>
    <t xml:space="preserve"> Bert Embeddig with weights</t>
  </si>
  <si>
    <t xml:space="preserve"> sBert Embeddig   </t>
  </si>
  <si>
    <t>Embedding Documnnets with Bert Model</t>
  </si>
  <si>
    <t>Embedding Model</t>
  </si>
  <si>
    <t>Topic Diversity</t>
  </si>
  <si>
    <t>Silehoute Score</t>
  </si>
  <si>
    <t>Davis Boulding Index</t>
  </si>
  <si>
    <t>NMI</t>
  </si>
  <si>
    <t>AMI</t>
  </si>
  <si>
    <t>ARI</t>
  </si>
  <si>
    <t>Topic Coherence(C_V)</t>
  </si>
  <si>
    <t>Topic Coherence(UMASS)</t>
  </si>
  <si>
    <t xml:space="preserve"> DBSCAN </t>
  </si>
  <si>
    <t>mBert</t>
  </si>
  <si>
    <t>Arabert</t>
  </si>
  <si>
    <t>FastText</t>
  </si>
  <si>
    <t xml:space="preserve"> DBSCAN + UMAP for Dimension Reduction</t>
  </si>
  <si>
    <t xml:space="preserve"> DBSCAN + Arabert</t>
  </si>
  <si>
    <t xml:space="preserve">AraBert 768 </t>
  </si>
  <si>
    <t>AraBert 128</t>
  </si>
  <si>
    <t>Approach</t>
  </si>
  <si>
    <t>AraBert</t>
  </si>
  <si>
    <t>DBSCAN + Arabert + Named Entities</t>
  </si>
  <si>
    <t># Classes</t>
  </si>
  <si>
    <t>Conherent (CV)</t>
  </si>
  <si>
    <t>Coherent(Umass)</t>
  </si>
  <si>
    <t xml:space="preserve"> DBSCAN + mBert</t>
  </si>
  <si>
    <t>AraBert 320</t>
  </si>
  <si>
    <t>AraBert 32</t>
  </si>
  <si>
    <t xml:space="preserve">mBert 768 </t>
  </si>
  <si>
    <t>mBert 512</t>
  </si>
  <si>
    <t>mBert 256</t>
  </si>
  <si>
    <t>mBert 128</t>
  </si>
  <si>
    <t>mBert 64</t>
  </si>
  <si>
    <t>mBert 32</t>
  </si>
  <si>
    <t>Exp. 2</t>
  </si>
  <si>
    <t>DBSCAN + Arabert + Named Entities Splited</t>
  </si>
  <si>
    <t>AraBert 256</t>
  </si>
  <si>
    <t>AraBert 448</t>
  </si>
  <si>
    <t>AraBert 64</t>
  </si>
  <si>
    <t xml:space="preserve"> DBSCAN + FastText</t>
  </si>
  <si>
    <t xml:space="preserve">FastText 300 </t>
  </si>
  <si>
    <t xml:space="preserve">FastText 128 </t>
  </si>
  <si>
    <t xml:space="preserve">FastText 160 </t>
  </si>
  <si>
    <t xml:space="preserve">FastText 64 </t>
  </si>
  <si>
    <t>Word2Vec</t>
  </si>
  <si>
    <t xml:space="preserve"> DBSCAN + Word2Vec</t>
  </si>
  <si>
    <t>LDA</t>
  </si>
  <si>
    <t xml:space="preserve"> DBSCAN + LDA</t>
  </si>
  <si>
    <t>Exp. 3</t>
  </si>
  <si>
    <t>Exp. 4</t>
  </si>
  <si>
    <t>Exp. 5</t>
  </si>
  <si>
    <t xml:space="preserve">Topics 140 </t>
  </si>
  <si>
    <t xml:space="preserve">Topics 130 </t>
  </si>
  <si>
    <t xml:space="preserve">Topics 90 </t>
  </si>
  <si>
    <t xml:space="preserve">Topics 50 </t>
  </si>
  <si>
    <t>Exp. 6</t>
  </si>
  <si>
    <t xml:space="preserve">Word2Vec 300 </t>
  </si>
  <si>
    <t xml:space="preserve">Word2Vec 160 </t>
  </si>
  <si>
    <t xml:space="preserve">Word2Vec 64 </t>
  </si>
  <si>
    <t xml:space="preserve">Word2Vec 128 </t>
  </si>
  <si>
    <t>High Dim</t>
  </si>
  <si>
    <t>Med Dim</t>
  </si>
  <si>
    <t>Low Dim</t>
  </si>
  <si>
    <t>mbert</t>
  </si>
  <si>
    <t>arabert</t>
  </si>
  <si>
    <t>word2vec</t>
  </si>
  <si>
    <t>lda</t>
  </si>
  <si>
    <t>fasttext</t>
  </si>
  <si>
    <t>prev</t>
  </si>
  <si>
    <t>propotion</t>
  </si>
  <si>
    <t>d</t>
  </si>
  <si>
    <t>Block</t>
  </si>
  <si>
    <t xml:space="preserve">Date </t>
  </si>
  <si>
    <t>Size</t>
  </si>
  <si>
    <t>Events</t>
  </si>
  <si>
    <t xml:space="preserve">Before 8 -5 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</si>
  <si>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</si>
  <si>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</si>
  <si>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</si>
  <si>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</si>
  <si>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</si>
  <si>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</si>
  <si>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</si>
  <si>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</si>
  <si>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</si>
  <si>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</si>
  <si>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</si>
  <si>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</si>
  <si>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</si>
  <si>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</si>
  <si>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</si>
  <si>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</si>
  <si>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</si>
  <si>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</si>
  <si>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</si>
  <si>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</si>
  <si>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</si>
  <si>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</si>
  <si>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</si>
  <si>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</si>
  <si>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</si>
  <si>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 xml:space="preserve"> HDBSCAN + Arabert</t>
  </si>
  <si>
    <t xml:space="preserve">NMI </t>
  </si>
  <si>
    <t>results on Evaluation df</t>
  </si>
  <si>
    <t>HDBSCAN + Arabert + Named Entities</t>
  </si>
  <si>
    <t xml:space="preserve"> HDBSCAN + mBert</t>
  </si>
  <si>
    <t>HDBSCAN + mBert + Named Entities</t>
  </si>
  <si>
    <t xml:space="preserve"> HDBSCAN + FastText</t>
  </si>
  <si>
    <t>HDBSCAN + FastText + Named Entities</t>
  </si>
  <si>
    <t xml:space="preserve"> HDBSCAN + Word2Vec</t>
  </si>
  <si>
    <t>HDBSCAN + Word2Vec + Named Entities</t>
  </si>
  <si>
    <t>Distilli mBert</t>
  </si>
  <si>
    <t xml:space="preserve"> HDBSCAN + LDA</t>
  </si>
  <si>
    <t xml:space="preserve">Distilli mBert 128 </t>
  </si>
  <si>
    <t xml:space="preserve">Distilli mBert 64 </t>
  </si>
  <si>
    <t xml:space="preserve"> HDBSCAN + Distilli mBert</t>
  </si>
  <si>
    <t xml:space="preserve">Distilli mBert 256 </t>
  </si>
  <si>
    <t xml:space="preserve">Distilli mBert 384 </t>
  </si>
  <si>
    <t xml:space="preserve">Topics 125 </t>
  </si>
  <si>
    <t xml:space="preserve">Topics 100 </t>
  </si>
  <si>
    <t xml:space="preserve">Topics 75 </t>
  </si>
  <si>
    <t>HDBSCAN + Distilli mBert + Named Entities</t>
  </si>
  <si>
    <t>HDBSCAN + LDA + Named Entities</t>
  </si>
  <si>
    <t>results on Tuning df</t>
  </si>
  <si>
    <t>Messages Clustering Stage</t>
  </si>
  <si>
    <t>distilli mBert</t>
  </si>
  <si>
    <t>Evaluation</t>
  </si>
  <si>
    <t>Tuning</t>
  </si>
  <si>
    <t>New</t>
  </si>
  <si>
    <t>Previuos</t>
  </si>
  <si>
    <t>HCRC</t>
  </si>
  <si>
    <t>G +N (512)</t>
  </si>
  <si>
    <t>G +N (128)</t>
  </si>
  <si>
    <t>G +N +M  + PCA</t>
  </si>
  <si>
    <t>N</t>
  </si>
  <si>
    <t xml:space="preserve"> Single Pass + mBert</t>
  </si>
  <si>
    <t>G</t>
  </si>
  <si>
    <t xml:space="preserve">G + mBert(256) </t>
  </si>
  <si>
    <t>G + N +mBer(256)</t>
  </si>
  <si>
    <t xml:space="preserve"> HDBSCAN + AraBert</t>
  </si>
  <si>
    <t>N(128)</t>
  </si>
  <si>
    <t>G + Arabert(128)</t>
  </si>
  <si>
    <t>N + G</t>
  </si>
  <si>
    <t>G +mBer(256)</t>
  </si>
  <si>
    <t>G +N +MmBert(256)</t>
  </si>
  <si>
    <t xml:space="preserve"> HDBSCAN + tBert</t>
  </si>
  <si>
    <t>G + tBert(256)</t>
  </si>
  <si>
    <t>N +G</t>
  </si>
  <si>
    <t xml:space="preserve"> HDBSCAN + distilli Bert</t>
  </si>
  <si>
    <t>G + Dbert(128)</t>
  </si>
  <si>
    <t>G + N + Dbert(128)</t>
  </si>
  <si>
    <t>G  + N</t>
  </si>
  <si>
    <t>Exp. 7</t>
  </si>
  <si>
    <t>Node+ Graph+ Distill Bert</t>
  </si>
  <si>
    <t>Node Level Embedding</t>
  </si>
  <si>
    <t>Graph Level Embedding</t>
  </si>
  <si>
    <t>Node+ Graph +mBert(256)</t>
  </si>
  <si>
    <t>Graph+ Node +mBert(256) + PCA</t>
  </si>
  <si>
    <t>Graph+ mBert(256)</t>
  </si>
  <si>
    <t>mBert(768)</t>
  </si>
  <si>
    <t>Graph +Node Level (256)</t>
  </si>
  <si>
    <t>Node+ Graph Level Embedding (128)</t>
  </si>
  <si>
    <t>Graph +Node Level +mBert +PCA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</si>
</sst>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79">
    <xf numFmtId="0" fontId="0" fillId="0" borderId="0" xfId="0"/>
    <xf numFmtId="0" fontId="0" fillId="8" borderId="0" xfId="0" applyFill="1"/>
    <xf numFmtId="0" fontId="0" fillId="8" borderId="0" xfId="0" applyFill="1" applyBorder="1"/>
    <xf numFmtId="2" fontId="0" fillId="4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0" fillId="8" borderId="0" xfId="0" applyFill="1" applyBorder="1" applyAlignment="1">
      <alignment vertical="center"/>
    </xf>
    <xf numFmtId="0" fontId="0" fillId="8" borderId="0" xfId="0" applyFill="1" applyBorder="1" applyAlignment="1"/>
    <xf numFmtId="0" fontId="0" fillId="8" borderId="0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left" vertical="center" indent="2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/>
    <xf numFmtId="0" fontId="5" fillId="8" borderId="0" xfId="0" applyFont="1" applyFill="1" applyAlignment="1">
      <alignment vertical="center"/>
    </xf>
    <xf numFmtId="0" fontId="5" fillId="8" borderId="0" xfId="0" applyFont="1" applyFill="1" applyBorder="1" applyAlignment="1">
      <alignment vertical="center"/>
    </xf>
    <xf numFmtId="0" fontId="3" fillId="8" borderId="0" xfId="0" applyFont="1" applyFill="1" applyBorder="1" applyAlignment="1"/>
    <xf numFmtId="2" fontId="0" fillId="8" borderId="0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164" fontId="0" fillId="4" borderId="6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/>
    <xf numFmtId="164" fontId="0" fillId="4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4" fontId="0" fillId="8" borderId="0" xfId="0" applyNumberFormat="1" applyFill="1" applyBorder="1" applyAlignment="1">
      <alignment horizontal="center"/>
    </xf>
    <xf numFmtId="164" fontId="4" fillId="8" borderId="0" xfId="0" applyNumberFormat="1" applyFont="1" applyFill="1" applyBorder="1" applyAlignment="1">
      <alignment horizontal="center"/>
    </xf>
    <xf numFmtId="164" fontId="0" fillId="8" borderId="0" xfId="0" applyNumberFormat="1" applyFont="1" applyFill="1" applyBorder="1" applyAlignment="1">
      <alignment horizontal="center"/>
    </xf>
    <xf numFmtId="164" fontId="6" fillId="8" borderId="0" xfId="0" applyNumberFormat="1" applyFont="1" applyFill="1" applyBorder="1" applyAlignment="1">
      <alignment horizontal="center"/>
    </xf>
    <xf numFmtId="164" fontId="3" fillId="8" borderId="0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" fontId="0" fillId="0" borderId="0" xfId="0" applyNumberFormat="1"/>
    <xf numFmtId="165" fontId="0" fillId="8" borderId="0" xfId="0" applyNumberFormat="1" applyFill="1" applyBorder="1" applyAlignment="1">
      <alignment horizontal="center"/>
    </xf>
    <xf numFmtId="164" fontId="0" fillId="6" borderId="1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0" fontId="9" fillId="8" borderId="0" xfId="0" applyFont="1" applyFill="1" applyBorder="1" applyAlignment="1">
      <alignment vertical="center"/>
    </xf>
    <xf numFmtId="164" fontId="9" fillId="8" borderId="0" xfId="0" applyNumberFormat="1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horizontal="center"/>
    </xf>
    <xf numFmtId="164" fontId="10" fillId="9" borderId="6" xfId="0" applyNumberFormat="1" applyFont="1" applyFill="1" applyBorder="1" applyAlignment="1">
      <alignment horizontal="center"/>
    </xf>
    <xf numFmtId="164" fontId="9" fillId="9" borderId="1" xfId="0" applyNumberFormat="1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164" fontId="10" fillId="10" borderId="1" xfId="0" applyNumberFormat="1" applyFont="1" applyFill="1" applyBorder="1" applyAlignment="1">
      <alignment horizontal="center"/>
    </xf>
    <xf numFmtId="0" fontId="9" fillId="4" borderId="2" xfId="0" applyFont="1" applyFill="1" applyBorder="1" applyAlignment="1"/>
    <xf numFmtId="0" fontId="9" fillId="4" borderId="4" xfId="0" applyFont="1" applyFill="1" applyBorder="1" applyAlignment="1"/>
    <xf numFmtId="0" fontId="0" fillId="2" borderId="2" xfId="0" applyFill="1" applyBorder="1" applyAlignment="1">
      <alignment horizontal="left" indent="3"/>
    </xf>
    <xf numFmtId="0" fontId="0" fillId="2" borderId="4" xfId="0" applyFill="1" applyBorder="1" applyAlignment="1">
      <alignment horizontal="left" indent="3"/>
    </xf>
    <xf numFmtId="0" fontId="0" fillId="4" borderId="2" xfId="0" applyFill="1" applyBorder="1" applyAlignment="1">
      <alignment horizontal="left" indent="3"/>
    </xf>
    <xf numFmtId="0" fontId="0" fillId="4" borderId="4" xfId="0" applyFill="1" applyBorder="1" applyAlignment="1">
      <alignment horizontal="left" indent="3"/>
    </xf>
    <xf numFmtId="0" fontId="9" fillId="4" borderId="1" xfId="0" applyFont="1" applyFill="1" applyBorder="1" applyAlignment="1">
      <alignment horizontal="left" indent="3"/>
    </xf>
    <xf numFmtId="0" fontId="9" fillId="2" borderId="1" xfId="0" applyFont="1" applyFill="1" applyBorder="1" applyAlignment="1">
      <alignment horizontal="left" indent="3"/>
    </xf>
    <xf numFmtId="0" fontId="9" fillId="2" borderId="2" xfId="0" applyFont="1" applyFill="1" applyBorder="1" applyAlignment="1">
      <alignment horizontal="left" indent="3"/>
    </xf>
    <xf numFmtId="0" fontId="9" fillId="2" borderId="4" xfId="0" applyFont="1" applyFill="1" applyBorder="1" applyAlignment="1">
      <alignment horizontal="left" indent="3"/>
    </xf>
    <xf numFmtId="0" fontId="0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left" indent="3"/>
    </xf>
    <xf numFmtId="0" fontId="0" fillId="7" borderId="1" xfId="0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indent="3"/>
    </xf>
    <xf numFmtId="0" fontId="9" fillId="4" borderId="4" xfId="0" applyFont="1" applyFill="1" applyBorder="1" applyAlignment="1">
      <alignment horizontal="left" indent="3"/>
    </xf>
    <xf numFmtId="0" fontId="0" fillId="6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indent="3"/>
    </xf>
    <xf numFmtId="0" fontId="0" fillId="4" borderId="1" xfId="0" applyFill="1" applyBorder="1" applyAlignment="1">
      <alignment horizontal="left" indent="3"/>
    </xf>
    <xf numFmtId="0" fontId="0" fillId="2" borderId="2" xfId="0" applyFill="1" applyBorder="1" applyAlignment="1">
      <alignment horizontal="left" indent="3"/>
    </xf>
    <xf numFmtId="0" fontId="0" fillId="2" borderId="4" xfId="0" applyFill="1" applyBorder="1" applyAlignment="1">
      <alignment horizontal="left" indent="3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2" xfId="0" applyFill="1" applyBorder="1" applyAlignment="1">
      <alignment horizontal="left" indent="3"/>
    </xf>
    <xf numFmtId="0" fontId="0" fillId="4" borderId="4" xfId="0" applyFill="1" applyBorder="1" applyAlignment="1">
      <alignment horizontal="left" indent="3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indent="3"/>
    </xf>
    <xf numFmtId="0" fontId="0" fillId="4" borderId="1" xfId="0" applyFont="1" applyFill="1" applyBorder="1" applyAlignment="1">
      <alignment horizontal="left" indent="3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2" borderId="7" xfId="0" applyFill="1" applyBorder="1" applyAlignment="1">
      <alignment horizontal="left" indent="3"/>
    </xf>
    <xf numFmtId="0" fontId="0" fillId="2" borderId="8" xfId="0" applyFill="1" applyBorder="1" applyAlignment="1">
      <alignment horizontal="left" indent="3"/>
    </xf>
    <xf numFmtId="0" fontId="0" fillId="6" borderId="1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left" indent="3"/>
    </xf>
    <xf numFmtId="0" fontId="0" fillId="4" borderId="8" xfId="0" applyFill="1" applyBorder="1" applyAlignment="1">
      <alignment horizontal="left" indent="3"/>
    </xf>
    <xf numFmtId="0" fontId="0" fillId="2" borderId="9" xfId="0" applyFill="1" applyBorder="1" applyAlignment="1">
      <alignment horizontal="left" indent="3"/>
    </xf>
    <xf numFmtId="0" fontId="0" fillId="2" borderId="14" xfId="0" applyFill="1" applyBorder="1" applyAlignment="1">
      <alignment horizontal="left" indent="3"/>
    </xf>
    <xf numFmtId="164" fontId="0" fillId="2" borderId="15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'hdbscan-offline'!$I$143:$J$143</c:f>
              <c:strCache>
                <c:ptCount val="2"/>
                <c:pt idx="0">
                  <c:v>Low Dim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'hdbscan-offline'!$K$142:$P$142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'hdbscan-offline'!$K$143:$P$143</c:f>
              <c:numCache>
                <c:formatCode>0.0000</c:formatCode>
                <c:ptCount val="6"/>
                <c:pt idx="0">
                  <c:v>0.23153499999999999</c:v>
                </c:pt>
                <c:pt idx="1">
                  <c:v>0.308002</c:v>
                </c:pt>
                <c:pt idx="2">
                  <c:v>0.319878</c:v>
                </c:pt>
                <c:pt idx="3">
                  <c:v>0.30309999999999998</c:v>
                </c:pt>
                <c:pt idx="4">
                  <c:v>0.33520499999999998</c:v>
                </c:pt>
                <c:pt idx="5">
                  <c:v>0.45004100000000002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8-44E1-9066-AE2CBECEB73E}"/>
            </c:ext>
          </c:extLst>
        </c:ser>
        <c:ser>
          <c:idx val="1"/>
          <c:order val="1"/>
          <c:tx>
            <c:strRef>
              <c:f>'hdbscan-offline'!$I$144:$J$144</c:f>
              <c:strCache>
                <c:ptCount val="2"/>
                <c:pt idx="0">
                  <c:v>Med Dim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'hdbscan-offline'!$K$142:$P$142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'hdbscan-offline'!$K$144:$P$144</c:f>
              <c:numCache>
                <c:formatCode>0.0000</c:formatCode>
                <c:ptCount val="6"/>
                <c:pt idx="0">
                  <c:v>0.25517499999999999</c:v>
                </c:pt>
                <c:pt idx="1">
                  <c:v>0.3246</c:v>
                </c:pt>
                <c:pt idx="2">
                  <c:v>0.33243299999999998</c:v>
                </c:pt>
                <c:pt idx="3">
                  <c:v>0.34960000000000002</c:v>
                </c:pt>
                <c:pt idx="4">
                  <c:v>0.35170000000000001</c:v>
                </c:pt>
                <c:pt idx="5">
                  <c:v>0.47170000000000001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8-44E1-9066-AE2CBECEB73E}"/>
            </c:ext>
          </c:extLst>
        </c:ser>
        <c:ser>
          <c:idx val="2"/>
          <c:order val="2"/>
          <c:tx>
            <c:strRef>
              <c:f>'hdbscan-offline'!$I$145:$J$145</c:f>
              <c:strCache>
                <c:ptCount val="2"/>
                <c:pt idx="0">
                  <c:v>High Dim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'hdbscan-offline'!$K$142:$P$142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'hdbscan-offline'!$K$145:$P$145</c:f>
              <c:numCache>
                <c:formatCode>0.0000</c:formatCode>
                <c:ptCount val="6"/>
                <c:pt idx="0">
                  <c:v>0.27469300000000002</c:v>
                </c:pt>
                <c:pt idx="1">
                  <c:v>0.35220000000000001</c:v>
                </c:pt>
                <c:pt idx="2">
                  <c:v>0.35934300000000002</c:v>
                </c:pt>
                <c:pt idx="3">
                  <c:v>0.35585299999999997</c:v>
                </c:pt>
                <c:pt idx="4">
                  <c:v>0.36859999999999998</c:v>
                </c:pt>
                <c:pt idx="5">
                  <c:v>0.48380000000000001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8-44E1-9066-AE2CBECE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016232"/>
        <c:axId val="240020496"/>
      </c:barChart>
      <c:catAx>
        <c:axId val="2400162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20496"/>
        <c:crosses val="autoZero"/>
        <c:auto val="1"/>
        <c:lblAlgn val="ctr"/>
        <c:lblOffset val="100"/>
        <c:noMultiLvlLbl val="0"/>
      </c:catAx>
      <c:valAx>
        <c:axId val="2400204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1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'hdbscan-offline'!$I$157:$J$157</c:f>
              <c:strCache>
                <c:ptCount val="2"/>
                <c:pt idx="0">
                  <c:v>Tuning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'hdbscan-offline'!$K$156:$P$156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'hdbscan-offline'!$K$157:$P$157</c:f>
              <c:numCache>
                <c:formatCode>0.0000</c:formatCode>
                <c:ptCount val="6"/>
                <c:pt idx="0">
                  <c:v>0.33071800000000001</c:v>
                </c:pt>
                <c:pt idx="1">
                  <c:v>0.29643199999999997</c:v>
                </c:pt>
                <c:pt idx="2">
                  <c:v>0.31278800000000001</c:v>
                </c:pt>
                <c:pt idx="3">
                  <c:v>0.31188500000000002</c:v>
                </c:pt>
                <c:pt idx="4">
                  <c:v>0.31406000000000001</c:v>
                </c:pt>
                <c:pt idx="5">
                  <c:v>0.38943699999999998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A-4EFC-9E25-E7C5BC590A00}"/>
            </c:ext>
          </c:extLst>
        </c:ser>
        <c:ser>
          <c:idx val="1"/>
          <c:order val="1"/>
          <c:tx>
            <c:strRef>
              <c:f>'hdbscan-offline'!$I$158:$J$158</c:f>
              <c:strCache>
                <c:ptCount val="2"/>
                <c:pt idx="0">
                  <c:v>Evaluation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'hdbscan-offline'!$K$156:$P$156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'hdbscan-offline'!$K$158:$P$158</c:f>
              <c:numCache>
                <c:formatCode>0.0000</c:formatCode>
                <c:ptCount val="6"/>
                <c:pt idx="0">
                  <c:v>0.27469300000000002</c:v>
                </c:pt>
                <c:pt idx="1">
                  <c:v>0.35220000000000001</c:v>
                </c:pt>
                <c:pt idx="2">
                  <c:v>0.35934300000000002</c:v>
                </c:pt>
                <c:pt idx="3">
                  <c:v>0.35585299999999997</c:v>
                </c:pt>
                <c:pt idx="4">
                  <c:v>0.36859999999999998</c:v>
                </c:pt>
                <c:pt idx="5">
                  <c:v>0.48380000000000001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A-4EFC-9E25-E7C5BC590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767312"/>
        <c:axId val="431132544"/>
      </c:barChart>
      <c:catAx>
        <c:axId val="4337673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32544"/>
        <c:crosses val="autoZero"/>
        <c:auto val="1"/>
        <c:lblAlgn val="ctr"/>
        <c:lblOffset val="100"/>
        <c:noMultiLvlLbl val="0"/>
      </c:catAx>
      <c:valAx>
        <c:axId val="4311325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6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'hdbscan-offline'!$J$185:$K$185</c:f>
              <c:strCache>
                <c:ptCount val="2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'hdbscan-offline'!$L$184:$Q$184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'hdbscan-offline'!$L$185:$Q$185</c:f>
              <c:numCache>
                <c:formatCode>0.0000</c:formatCode>
                <c:ptCount val="6"/>
                <c:pt idx="0">
                  <c:v>0.38785900000000001</c:v>
                </c:pt>
                <c:pt idx="1">
                  <c:v>0.35049999999999998</c:v>
                </c:pt>
                <c:pt idx="2">
                  <c:v>0.38729999999999998</c:v>
                </c:pt>
                <c:pt idx="3">
                  <c:v>0.37587799999999999</c:v>
                </c:pt>
                <c:pt idx="4">
                  <c:v>0.347912</c:v>
                </c:pt>
                <c:pt idx="5">
                  <c:v>0.44319999999999998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B-4D17-ADDA-2ED249101772}"/>
            </c:ext>
          </c:extLst>
        </c:ser>
        <c:ser>
          <c:idx val="1"/>
          <c:order val="1"/>
          <c:tx>
            <c:strRef>
              <c:f>'hdbscan-offline'!$J$186:$K$186</c:f>
              <c:strCache>
                <c:ptCount val="2"/>
                <c:pt idx="0">
                  <c:v>Previuos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'hdbscan-offline'!$L$184:$Q$184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'hdbscan-offline'!$L$186:$Q$186</c:f>
              <c:numCache>
                <c:formatCode>0.0000</c:formatCode>
                <c:ptCount val="6"/>
                <c:pt idx="0">
                  <c:v>0.27469300000000002</c:v>
                </c:pt>
                <c:pt idx="1">
                  <c:v>0.35220000000000001</c:v>
                </c:pt>
                <c:pt idx="2">
                  <c:v>0.35934300000000002</c:v>
                </c:pt>
                <c:pt idx="3">
                  <c:v>0.35585299999999997</c:v>
                </c:pt>
                <c:pt idx="4">
                  <c:v>0.36859999999999998</c:v>
                </c:pt>
                <c:pt idx="5">
                  <c:v>0.48380000000000001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B-4D17-ADDA-2ED249101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314528"/>
        <c:axId val="433313872"/>
      </c:barChart>
      <c:catAx>
        <c:axId val="4333145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13872"/>
        <c:crosses val="autoZero"/>
        <c:auto val="1"/>
        <c:lblAlgn val="ctr"/>
        <c:lblOffset val="100"/>
        <c:noMultiLvlLbl val="0"/>
      </c:catAx>
      <c:valAx>
        <c:axId val="4333138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'hdbscan-offline'!$K$206:$L$206</c:f>
              <c:strCache>
                <c:ptCount val="2"/>
                <c:pt idx="0">
                  <c:v>Tuning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'hdbscan-offline'!$M$205:$R$205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'hdbscan-offline'!$M$206:$R$206</c:f>
              <c:numCache>
                <c:formatCode>0.0000</c:formatCode>
                <c:ptCount val="6"/>
                <c:pt idx="0">
                  <c:v>0.344472</c:v>
                </c:pt>
                <c:pt idx="1">
                  <c:v>0.26419799999999999</c:v>
                </c:pt>
                <c:pt idx="2">
                  <c:v>0.34655599999999998</c:v>
                </c:pt>
                <c:pt idx="3">
                  <c:v>0.28177099999999999</c:v>
                </c:pt>
                <c:pt idx="4">
                  <c:v>0.318712</c:v>
                </c:pt>
                <c:pt idx="5">
                  <c:v>0.36468299999999998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F-428A-B5C7-3872E24A59E0}"/>
            </c:ext>
          </c:extLst>
        </c:ser>
        <c:ser>
          <c:idx val="1"/>
          <c:order val="1"/>
          <c:tx>
            <c:strRef>
              <c:f>'hdbscan-offline'!$K$207:$L$207</c:f>
              <c:strCache>
                <c:ptCount val="2"/>
                <c:pt idx="0">
                  <c:v>Evaluation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'hdbscan-offline'!$M$205:$R$205</c:f>
              <c:strCache>
                <c:ptCount val="6"/>
                <c:pt idx="0">
                  <c:v>LDA</c:v>
                </c:pt>
                <c:pt idx="1">
                  <c:v>Word2Vec</c:v>
                </c:pt>
                <c:pt idx="2">
                  <c:v>FastText</c:v>
                </c:pt>
                <c:pt idx="3">
                  <c:v>AraBert</c:v>
                </c:pt>
                <c:pt idx="4">
                  <c:v>distilli mBert</c:v>
                </c:pt>
                <c:pt idx="5">
                  <c:v>mBert</c:v>
                </c:pt>
              </c:strCache>
            </c:strRef>
          </c:cat>
          <c:val>
            <c:numRef>
              <c:f>'hdbscan-offline'!$M$207:$R$207</c:f>
              <c:numCache>
                <c:formatCode>0.0000</c:formatCode>
                <c:ptCount val="6"/>
                <c:pt idx="0">
                  <c:v>0.38785900000000001</c:v>
                </c:pt>
                <c:pt idx="1">
                  <c:v>0.35049999999999998</c:v>
                </c:pt>
                <c:pt idx="2">
                  <c:v>0.38729999999999998</c:v>
                </c:pt>
                <c:pt idx="3">
                  <c:v>0.37587799999999999</c:v>
                </c:pt>
                <c:pt idx="4">
                  <c:v>0.347912</c:v>
                </c:pt>
                <c:pt idx="5">
                  <c:v>0.44319999999999998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F-428A-B5C7-3872E24A5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019512"/>
        <c:axId val="240014920"/>
      </c:barChart>
      <c:catAx>
        <c:axId val="240019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14920"/>
        <c:crosses val="autoZero"/>
        <c:auto val="1"/>
        <c:lblAlgn val="ctr"/>
        <c:lblOffset val="100"/>
        <c:noMultiLvlLbl val="0"/>
      </c:catAx>
      <c:valAx>
        <c:axId val="2400149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1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'hdbscan-offline'!$I$223</c:f>
              <c:strCache>
                <c:ptCount val="1"/>
                <c:pt idx="0">
                  <c:v>NMI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'hdbscan-offline'!$J$222:$R$222</c:f>
              <c:strCache>
                <c:ptCount val="9"/>
                <c:pt idx="0">
                  <c:v>Graph Level Embedding</c:v>
                </c:pt>
                <c:pt idx="1">
                  <c:v>Node+ Graph+ Distill Bert</c:v>
                </c:pt>
                <c:pt idx="2">
                  <c:v>mBert(768)</c:v>
                </c:pt>
                <c:pt idx="3">
                  <c:v>Node Level Embedding</c:v>
                </c:pt>
                <c:pt idx="4">
                  <c:v>Graph+ mBert(256)</c:v>
                </c:pt>
                <c:pt idx="5">
                  <c:v>Node+ Graph +mBert(256)</c:v>
                </c:pt>
                <c:pt idx="6">
                  <c:v>Node+ Graph Level Embedding (128)</c:v>
                </c:pt>
                <c:pt idx="7">
                  <c:v>Graph +Node Level (256)</c:v>
                </c:pt>
                <c:pt idx="8">
                  <c:v>Graph+ Node +mBert(256) + PCA</c:v>
                </c:pt>
              </c:strCache>
            </c:strRef>
          </c:cat>
          <c:val>
            <c:numRef>
              <c:f>'hdbscan-offline'!$J$223:$R$223</c:f>
              <c:numCache>
                <c:formatCode>0.0000</c:formatCode>
                <c:ptCount val="9"/>
                <c:pt idx="0">
                  <c:v>0.3125</c:v>
                </c:pt>
                <c:pt idx="1">
                  <c:v>0.39850000000000002</c:v>
                </c:pt>
                <c:pt idx="2">
                  <c:v>0.48380000000000001</c:v>
                </c:pt>
                <c:pt idx="3">
                  <c:v>0.53800000000000003</c:v>
                </c:pt>
                <c:pt idx="4">
                  <c:v>0.53949999999999998</c:v>
                </c:pt>
                <c:pt idx="5">
                  <c:v>0.54879999999999995</c:v>
                </c:pt>
                <c:pt idx="6">
                  <c:v>0.58850000000000002</c:v>
                </c:pt>
                <c:pt idx="7">
                  <c:v>0.59930000000000005</c:v>
                </c:pt>
                <c:pt idx="8">
                  <c:v>0.62649999999999995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0-4EA6-8BAC-345B30B6E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976640"/>
        <c:axId val="441975328"/>
      </c:barChart>
      <c:catAx>
        <c:axId val="4419766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75328"/>
        <c:crosses val="autoZero"/>
        <c:auto val="1"/>
        <c:lblAlgn val="ctr"/>
        <c:lblOffset val="100"/>
        <c:noMultiLvlLbl val="0"/>
      </c:catAx>
      <c:valAx>
        <c:axId val="441975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7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'hdbscan-offline'!$P$249:$Q$249</c:f>
              <c:strCache>
                <c:ptCount val="2"/>
                <c:pt idx="0">
                  <c:v>mBert</c:v>
                </c:pt>
                <c:pt idx="1">
                  <c:v>HCRC</c:v>
                </c:pt>
              </c:strCache>
            </c:strRef>
          </c:cat>
          <c:val>
            <c:numRef>
              <c:f>'hdbscan-offline'!$P$250:$Q$250</c:f>
              <c:numCache>
                <c:formatCode>0.0000</c:formatCode>
                <c:ptCount val="2"/>
                <c:pt idx="0">
                  <c:v>0.48380000000000001</c:v>
                </c:pt>
                <c:pt idx="1">
                  <c:v>0.58850000000000002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D-4DEE-AE7F-79A9288CB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881720"/>
        <c:axId val="448888608"/>
      </c:barChart>
      <c:catAx>
        <c:axId val="4488817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88608"/>
        <c:crosses val="autoZero"/>
        <c:auto val="1"/>
        <c:lblAlgn val="ctr"/>
        <c:lblOffset val="100"/>
        <c:noMultiLvlLbl val="0"/>
      </c:catAx>
      <c:valAx>
        <c:axId val="4488886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8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'hdbscan-offline'!$G$311:$I$311</c:f>
              <c:strCache>
                <c:ptCount val="3"/>
                <c:pt idx="0">
                  <c:v>Graph Level Embedding</c:v>
                </c:pt>
                <c:pt idx="1">
                  <c:v>Node Level Embedding</c:v>
                </c:pt>
                <c:pt idx="2">
                  <c:v>HCRC</c:v>
                </c:pt>
              </c:strCache>
            </c:strRef>
          </c:cat>
          <c:val>
            <c:numRef>
              <c:f>'hdbscan-offline'!$G$312:$I$312</c:f>
              <c:numCache>
                <c:formatCode>0.0000</c:formatCode>
                <c:ptCount val="3"/>
                <c:pt idx="0">
                  <c:v>0.3125</c:v>
                </c:pt>
                <c:pt idx="1">
                  <c:v>0.53800000000000003</c:v>
                </c:pt>
                <c:pt idx="2">
                  <c:v>0.58850000000000002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5-4406-9D13-D3EEC778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97128"/>
        <c:axId val="450487616"/>
      </c:barChart>
      <c:catAx>
        <c:axId val="4504971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87616"/>
        <c:crosses val="autoZero"/>
        <c:auto val="1"/>
        <c:lblAlgn val="ctr"/>
        <c:lblOffset val="100"/>
        <c:noMultiLvlLbl val="0"/>
      </c:catAx>
      <c:valAx>
        <c:axId val="4504876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9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'hdbscan-offline'!$M$312:$N$312</c:f>
              <c:strCache>
                <c:ptCount val="2"/>
                <c:pt idx="0">
                  <c:v>HCRC</c:v>
                </c:pt>
                <c:pt idx="1">
                  <c:v>Graph+ Node +mBert(256) + PCA</c:v>
                </c:pt>
              </c:strCache>
            </c:strRef>
          </c:cat>
          <c:val>
            <c:numRef>
              <c:f>'hdbscan-offline'!$M$313:$N$313</c:f>
              <c:numCache>
                <c:formatCode>0.0000</c:formatCode>
                <c:ptCount val="2"/>
                <c:pt idx="0">
                  <c:v>0.58850000000000002</c:v>
                </c:pt>
                <c:pt idx="1">
                  <c:v>0.62649999999999995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0-4D06-89BD-CF2EF2A9F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213560"/>
        <c:axId val="376213888"/>
      </c:barChart>
      <c:catAx>
        <c:axId val="3762135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13888"/>
        <c:crosses val="autoZero"/>
        <c:auto val="1"/>
        <c:lblAlgn val="ctr"/>
        <c:lblOffset val="100"/>
        <c:noMultiLvlLbl val="0"/>
      </c:catAx>
      <c:valAx>
        <c:axId val="3762138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13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'exp1'!$M$115</c:f>
              <c:strCache>
                <c:ptCount val="1"/>
                <c:pt idx="0">
                  <c:v>AraBert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'exp1'!$N$115:$R$115</c:f>
              <c:numCache>
                <c:formatCode>0.0000</c:formatCode>
                <c:ptCount val="5"/>
                <c:pt idx="1">
                  <c:v>0.17646800000000001</c:v>
                </c:pt>
                <c:pt idx="2">
                  <c:v>0.198321</c:v>
                </c:pt>
                <c:pt idx="3">
                  <c:v>0.22781699999999999</c:v>
                </c:pt>
                <c:pt idx="4">
                  <c:v>0.27335300000000001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3-41AF-A1E3-75423382889F}"/>
            </c:ext>
          </c:extLst>
        </c:ser>
        <c:ser>
          <c:idx val="1"/>
          <c:order val="1"/>
          <c:tx>
            <c:strRef>
              <c:f>'exp1'!$M$116</c:f>
              <c:strCache>
                <c:ptCount val="1"/>
                <c:pt idx="0">
                  <c:v>mBert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'exp1'!$N$116:$R$116</c:f>
              <c:numCache>
                <c:formatCode>0.0000</c:formatCode>
                <c:ptCount val="5"/>
                <c:pt idx="1">
                  <c:v>0.50558999999999998</c:v>
                </c:pt>
                <c:pt idx="2">
                  <c:v>0.506629</c:v>
                </c:pt>
                <c:pt idx="3">
                  <c:v>0.50852399999999998</c:v>
                </c:pt>
                <c:pt idx="4">
                  <c:v>0.50597300000000001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3-41AF-A1E3-75423382889F}"/>
            </c:ext>
          </c:extLst>
        </c:ser>
        <c:ser>
          <c:idx val="2"/>
          <c:order val="2"/>
          <c:tx>
            <c:strRef>
              <c:f>'exp1'!$M$117</c:f>
              <c:strCache>
                <c:ptCount val="1"/>
                <c:pt idx="0">
                  <c:v>FastText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'exp1'!$N$117:$R$117</c:f>
              <c:numCache>
                <c:formatCode>0.0000</c:formatCode>
                <c:ptCount val="5"/>
                <c:pt idx="1">
                  <c:v>0.32127600000000001</c:v>
                </c:pt>
                <c:pt idx="2">
                  <c:v>0.34637299999999999</c:v>
                </c:pt>
                <c:pt idx="3">
                  <c:v>0.35832399999999998</c:v>
                </c:pt>
                <c:pt idx="4">
                  <c:v>0.30877199999999999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3-41AF-A1E3-75423382889F}"/>
            </c:ext>
          </c:extLst>
        </c:ser>
        <c:ser>
          <c:idx val="3"/>
          <c:order val="3"/>
          <c:tx>
            <c:strRef>
              <c:f>'exp1'!$M$118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'exp1'!$N$118:$R$118</c:f>
              <c:numCache>
                <c:formatCode>0.0000</c:formatCode>
                <c:ptCount val="5"/>
                <c:pt idx="1">
                  <c:v>0.23472100000000001</c:v>
                </c:pt>
                <c:pt idx="2">
                  <c:v>0.23739399999999999</c:v>
                </c:pt>
                <c:pt idx="3">
                  <c:v>0.10822900000000001</c:v>
                </c:pt>
                <c:pt idx="4">
                  <c:v>2.6515E-2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F3-41AF-A1E3-75423382889F}"/>
            </c:ext>
          </c:extLst>
        </c:ser>
        <c:ser>
          <c:idx val="4"/>
          <c:order val="4"/>
          <c:tx>
            <c:strRef>
              <c:f>'exp1'!$M$119</c:f>
              <c:strCache>
                <c:ptCount val="1"/>
                <c:pt idx="0">
                  <c:v>Word2Vec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'exp1'!$N$119:$R$119</c:f>
              <c:numCache>
                <c:formatCode>0.0000</c:formatCode>
                <c:ptCount val="5"/>
                <c:pt idx="1">
                  <c:v>0.33607599999999999</c:v>
                </c:pt>
                <c:pt idx="2">
                  <c:v>0.20791699999999999</c:v>
                </c:pt>
                <c:pt idx="3">
                  <c:v>0.17142099999999999</c:v>
                </c:pt>
                <c:pt idx="4">
                  <c:v>0.10179000000000001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3-41AF-A1E3-75423382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841304"/>
        <c:axId val="571839664"/>
      </c:barChart>
      <c:catAx>
        <c:axId val="571841304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39664"/>
        <c:crosses val="autoZero"/>
        <c:auto val="1"/>
        <c:lblAlgn val="ctr"/>
        <c:lblOffset val="100"/>
        <c:noMultiLvlLbl val="0"/>
      </c:catAx>
      <c:valAx>
        <c:axId val="5718396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4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77915573053368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'exp1'!$O$154:$P$154</c:f>
              <c:strCache>
                <c:ptCount val="2"/>
                <c:pt idx="0">
                  <c:v>High Dim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'exp1'!$Q$151:$U$151</c:f>
              <c:strCache>
                <c:ptCount val="5"/>
                <c:pt idx="0">
                  <c:v>AraBert</c:v>
                </c:pt>
                <c:pt idx="1">
                  <c:v>LDA</c:v>
                </c:pt>
                <c:pt idx="2">
                  <c:v>Word2Vec</c:v>
                </c:pt>
                <c:pt idx="3">
                  <c:v>FastText</c:v>
                </c:pt>
                <c:pt idx="4">
                  <c:v>mBert</c:v>
                </c:pt>
              </c:strCache>
            </c:strRef>
          </c:cat>
          <c:val>
            <c:numRef>
              <c:f>'exp1'!$Q$154:$U$154</c:f>
              <c:numCache>
                <c:formatCode>0.0000</c:formatCode>
                <c:ptCount val="5"/>
                <c:pt idx="0">
                  <c:v>0.17646800000000001</c:v>
                </c:pt>
                <c:pt idx="1">
                  <c:v>0.23472100000000001</c:v>
                </c:pt>
                <c:pt idx="2">
                  <c:v>0.33607599999999999</c:v>
                </c:pt>
                <c:pt idx="3">
                  <c:v>0.32127600000000001</c:v>
                </c:pt>
                <c:pt idx="4">
                  <c:v>0.50558999999999998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C-4C8E-930D-64A7AF40A9C0}"/>
            </c:ext>
          </c:extLst>
        </c:ser>
        <c:ser>
          <c:idx val="1"/>
          <c:order val="1"/>
          <c:tx>
            <c:strRef>
              <c:f>'exp1'!$O$153:$P$153</c:f>
              <c:strCache>
                <c:ptCount val="2"/>
                <c:pt idx="0">
                  <c:v>Med Dim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'exp1'!$Q$151:$U$151</c:f>
              <c:strCache>
                <c:ptCount val="5"/>
                <c:pt idx="0">
                  <c:v>AraBert</c:v>
                </c:pt>
                <c:pt idx="1">
                  <c:v>LDA</c:v>
                </c:pt>
                <c:pt idx="2">
                  <c:v>Word2Vec</c:v>
                </c:pt>
                <c:pt idx="3">
                  <c:v>FastText</c:v>
                </c:pt>
                <c:pt idx="4">
                  <c:v>mBert</c:v>
                </c:pt>
              </c:strCache>
            </c:strRef>
          </c:cat>
          <c:val>
            <c:numRef>
              <c:f>'exp1'!$Q$153:$U$153</c:f>
              <c:numCache>
                <c:formatCode>0.0000</c:formatCode>
                <c:ptCount val="5"/>
                <c:pt idx="0">
                  <c:v>0.198321</c:v>
                </c:pt>
                <c:pt idx="1">
                  <c:v>0.23739399999999999</c:v>
                </c:pt>
                <c:pt idx="2">
                  <c:v>0.20791699999999999</c:v>
                </c:pt>
                <c:pt idx="3">
                  <c:v>0.34637299999999999</c:v>
                </c:pt>
                <c:pt idx="4">
                  <c:v>0.506629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C-4C8E-930D-64A7AF40A9C0}"/>
            </c:ext>
          </c:extLst>
        </c:ser>
        <c:ser>
          <c:idx val="2"/>
          <c:order val="2"/>
          <c:tx>
            <c:strRef>
              <c:f>'exp1'!$O$152:$P$152</c:f>
              <c:strCache>
                <c:ptCount val="2"/>
                <c:pt idx="0">
                  <c:v>Low Dim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'exp1'!$Q$151:$U$151</c:f>
              <c:strCache>
                <c:ptCount val="5"/>
                <c:pt idx="0">
                  <c:v>AraBert</c:v>
                </c:pt>
                <c:pt idx="1">
                  <c:v>LDA</c:v>
                </c:pt>
                <c:pt idx="2">
                  <c:v>Word2Vec</c:v>
                </c:pt>
                <c:pt idx="3">
                  <c:v>FastText</c:v>
                </c:pt>
                <c:pt idx="4">
                  <c:v>mBert</c:v>
                </c:pt>
              </c:strCache>
            </c:strRef>
          </c:cat>
          <c:val>
            <c:numRef>
              <c:f>'exp1'!$Q$152:$U$152</c:f>
              <c:numCache>
                <c:formatCode>0.0000</c:formatCode>
                <c:ptCount val="5"/>
                <c:pt idx="0">
                  <c:v>0.22781699999999999</c:v>
                </c:pt>
                <c:pt idx="1">
                  <c:v>0.10822900000000001</c:v>
                </c:pt>
                <c:pt idx="2">
                  <c:v>0.17142099999999999</c:v>
                </c:pt>
                <c:pt idx="3">
                  <c:v>0.35832399999999998</c:v>
                </c:pt>
                <c:pt idx="4">
                  <c:v>0.50852399999999998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FC-4C8E-930D-64A7AF40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529888"/>
        <c:axId val="443531200"/>
      </c:barChart>
      <c:catAx>
        <c:axId val="44352988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31200"/>
        <c:crosses val="autoZero"/>
        <c:auto val="1"/>
        <c:lblAlgn val="ctr"/>
        <c:lblOffset val="100"/>
        <c:noMultiLvlLbl val="0"/>
      </c:catAx>
      <c:valAx>
        <c:axId val="443531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'exp1'!$O$152:$P$152</c:f>
              <c:strCache>
                <c:ptCount val="2"/>
                <c:pt idx="0">
                  <c:v>Low Dim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'exp1'!$Q$151:$U$151</c:f>
              <c:strCache>
                <c:ptCount val="5"/>
                <c:pt idx="0">
                  <c:v>AraBert</c:v>
                </c:pt>
                <c:pt idx="1">
                  <c:v>LDA</c:v>
                </c:pt>
                <c:pt idx="2">
                  <c:v>Word2Vec</c:v>
                </c:pt>
                <c:pt idx="3">
                  <c:v>FastText</c:v>
                </c:pt>
                <c:pt idx="4">
                  <c:v>mBert</c:v>
                </c:pt>
              </c:strCache>
            </c:strRef>
          </c:cat>
          <c:val>
            <c:numRef>
              <c:f>'exp1'!$Q$152:$U$152</c:f>
              <c:numCache>
                <c:formatCode>0.0000</c:formatCode>
                <c:ptCount val="5"/>
                <c:pt idx="0">
                  <c:v>0.22781699999999999</c:v>
                </c:pt>
                <c:pt idx="1">
                  <c:v>0.10822900000000001</c:v>
                </c:pt>
                <c:pt idx="2">
                  <c:v>0.17142099999999999</c:v>
                </c:pt>
                <c:pt idx="3">
                  <c:v>0.35832399999999998</c:v>
                </c:pt>
                <c:pt idx="4">
                  <c:v>0.50852399999999998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0-4286-BE85-0DBF30E095AC}"/>
            </c:ext>
          </c:extLst>
        </c:ser>
        <c:ser>
          <c:idx val="1"/>
          <c:order val="1"/>
          <c:tx>
            <c:strRef>
              <c:f>'exp1'!$O$153:$P$153</c:f>
              <c:strCache>
                <c:ptCount val="2"/>
                <c:pt idx="0">
                  <c:v>Med Dim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'exp1'!$Q$151:$U$151</c:f>
              <c:strCache>
                <c:ptCount val="5"/>
                <c:pt idx="0">
                  <c:v>AraBert</c:v>
                </c:pt>
                <c:pt idx="1">
                  <c:v>LDA</c:v>
                </c:pt>
                <c:pt idx="2">
                  <c:v>Word2Vec</c:v>
                </c:pt>
                <c:pt idx="3">
                  <c:v>FastText</c:v>
                </c:pt>
                <c:pt idx="4">
                  <c:v>mBert</c:v>
                </c:pt>
              </c:strCache>
            </c:strRef>
          </c:cat>
          <c:val>
            <c:numRef>
              <c:f>'exp1'!$Q$153:$U$153</c:f>
              <c:numCache>
                <c:formatCode>0.0000</c:formatCode>
                <c:ptCount val="5"/>
                <c:pt idx="0">
                  <c:v>0.198321</c:v>
                </c:pt>
                <c:pt idx="1">
                  <c:v>0.23739399999999999</c:v>
                </c:pt>
                <c:pt idx="2">
                  <c:v>0.20791699999999999</c:v>
                </c:pt>
                <c:pt idx="3">
                  <c:v>0.34637299999999999</c:v>
                </c:pt>
                <c:pt idx="4">
                  <c:v>0.506629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0-4286-BE85-0DBF30E095AC}"/>
            </c:ext>
          </c:extLst>
        </c:ser>
        <c:ser>
          <c:idx val="2"/>
          <c:order val="2"/>
          <c:tx>
            <c:strRef>
              <c:f>'exp1'!$O$154:$P$154</c:f>
              <c:strCache>
                <c:ptCount val="2"/>
                <c:pt idx="0">
                  <c:v>High Dim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'exp1'!$Q$151:$U$151</c:f>
              <c:strCache>
                <c:ptCount val="5"/>
                <c:pt idx="0">
                  <c:v>AraBert</c:v>
                </c:pt>
                <c:pt idx="1">
                  <c:v>LDA</c:v>
                </c:pt>
                <c:pt idx="2">
                  <c:v>Word2Vec</c:v>
                </c:pt>
                <c:pt idx="3">
                  <c:v>FastText</c:v>
                </c:pt>
                <c:pt idx="4">
                  <c:v>mBert</c:v>
                </c:pt>
              </c:strCache>
            </c:strRef>
          </c:cat>
          <c:val>
            <c:numRef>
              <c:f>'exp1'!$Q$154:$U$154</c:f>
              <c:numCache>
                <c:formatCode>0.0000</c:formatCode>
                <c:ptCount val="5"/>
                <c:pt idx="0">
                  <c:v>0.17646800000000001</c:v>
                </c:pt>
                <c:pt idx="1">
                  <c:v>0.23472100000000001</c:v>
                </c:pt>
                <c:pt idx="2">
                  <c:v>0.33607599999999999</c:v>
                </c:pt>
                <c:pt idx="3">
                  <c:v>0.32127600000000001</c:v>
                </c:pt>
                <c:pt idx="4">
                  <c:v>0.50558999999999998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0-4286-BE85-0DBF30E0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205816"/>
        <c:axId val="431200240"/>
      </c:barChart>
      <c:catAx>
        <c:axId val="4312058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00240"/>
        <c:crosses val="autoZero"/>
        <c:auto val="1"/>
        <c:lblAlgn val="ctr"/>
        <c:lblOffset val="100"/>
        <c:noMultiLvlLbl val="0"/>
      </c:catAx>
      <c:valAx>
        <c:axId val="43120024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0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365125</xdr:colOff>
      <xdr:row>137</xdr:row>
      <xdr:rowOff>156369</xdr:rowOff>
    </xdr:from>
    <xdr:to>
      <xdr:col>7</xdr:col>
      <xdr:colOff>563563</xdr:colOff>
      <xdr:row>152</xdr:row>
      <xdr:rowOff>161131</xdr:rowOff>
    </xdr:to>
    <xdr:graphicFrame macro="">
      <xdr:nvGraphicFramePr>
        <xdr:cNvPr id="4" name="مخطط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156</xdr:row>
      <xdr:rowOff>124618</xdr:rowOff>
    </xdr:from>
    <xdr:to>
      <xdr:col>6</xdr:col>
      <xdr:colOff>246062</xdr:colOff>
      <xdr:row>171</xdr:row>
      <xdr:rowOff>129381</xdr:rowOff>
    </xdr:to>
    <xdr:graphicFrame macro="">
      <xdr:nvGraphicFramePr>
        <xdr:cNvPr id="5" name="مخطط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539750</xdr:colOff>
      <xdr:row>181</xdr:row>
      <xdr:rowOff>5557</xdr:rowOff>
    </xdr:from>
    <xdr:to>
      <xdr:col>7</xdr:col>
      <xdr:colOff>127000</xdr:colOff>
      <xdr:row>196</xdr:row>
      <xdr:rowOff>10319</xdr:rowOff>
    </xdr:to>
    <xdr:graphicFrame macro="">
      <xdr:nvGraphicFramePr>
        <xdr:cNvPr id="6" name="مخطط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476251</xdr:colOff>
      <xdr:row>201</xdr:row>
      <xdr:rowOff>69056</xdr:rowOff>
    </xdr:from>
    <xdr:to>
      <xdr:col>9</xdr:col>
      <xdr:colOff>523876</xdr:colOff>
      <xdr:row>216</xdr:row>
      <xdr:rowOff>73818</xdr:rowOff>
    </xdr:to>
    <xdr:graphicFrame macro="">
      <xdr:nvGraphicFramePr>
        <xdr:cNvPr id="7" name="مخطط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217</xdr:row>
      <xdr:rowOff>5555</xdr:rowOff>
    </xdr:from>
    <xdr:to>
      <xdr:col>6</xdr:col>
      <xdr:colOff>579437</xdr:colOff>
      <xdr:row>235</xdr:row>
      <xdr:rowOff>126999</xdr:rowOff>
    </xdr:to>
    <xdr:graphicFrame macro="">
      <xdr:nvGraphicFramePr>
        <xdr:cNvPr id="8" name="مخطط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230187</xdr:colOff>
      <xdr:row>246</xdr:row>
      <xdr:rowOff>21431</xdr:rowOff>
    </xdr:from>
    <xdr:to>
      <xdr:col>13</xdr:col>
      <xdr:colOff>206375</xdr:colOff>
      <xdr:row>261</xdr:row>
      <xdr:rowOff>26194</xdr:rowOff>
    </xdr:to>
    <xdr:graphicFrame macro="">
      <xdr:nvGraphicFramePr>
        <xdr:cNvPr id="3" name="مخطط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31751</xdr:colOff>
      <xdr:row>302</xdr:row>
      <xdr:rowOff>116680</xdr:rowOff>
    </xdr:from>
    <xdr:to>
      <xdr:col>6</xdr:col>
      <xdr:colOff>230188</xdr:colOff>
      <xdr:row>317</xdr:row>
      <xdr:rowOff>121443</xdr:rowOff>
    </xdr:to>
    <xdr:graphicFrame macro="">
      <xdr:nvGraphicFramePr>
        <xdr:cNvPr id="10" name="مخطط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230188</xdr:colOff>
      <xdr:row>305</xdr:row>
      <xdr:rowOff>21431</xdr:rowOff>
    </xdr:from>
    <xdr:to>
      <xdr:col>12</xdr:col>
      <xdr:colOff>992188</xdr:colOff>
      <xdr:row>320</xdr:row>
      <xdr:rowOff>26193</xdr:rowOff>
    </xdr:to>
    <xdr:graphicFrame macro="">
      <xdr:nvGraphicFramePr>
        <xdr:cNvPr id="12" name="مخطط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873125</xdr:colOff>
      <xdr:row>119</xdr:row>
      <xdr:rowOff>148431</xdr:rowOff>
    </xdr:from>
    <xdr:to>
      <xdr:col>22</xdr:col>
      <xdr:colOff>420688</xdr:colOff>
      <xdr:row>134</xdr:row>
      <xdr:rowOff>153193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523876</xdr:colOff>
      <xdr:row>144</xdr:row>
      <xdr:rowOff>116681</xdr:rowOff>
    </xdr:from>
    <xdr:to>
      <xdr:col>13</xdr:col>
      <xdr:colOff>1111251</xdr:colOff>
      <xdr:row>159</xdr:row>
      <xdr:rowOff>121444</xdr:rowOff>
    </xdr:to>
    <xdr:graphicFrame macro="">
      <xdr:nvGraphicFramePr>
        <xdr:cNvPr id="4" name="مخطط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95250</xdr:colOff>
      <xdr:row>156</xdr:row>
      <xdr:rowOff>172243</xdr:rowOff>
    </xdr:from>
    <xdr:to>
      <xdr:col>21</xdr:col>
      <xdr:colOff>254000</xdr:colOff>
      <xdr:row>171</xdr:row>
      <xdr:rowOff>177006</xdr:rowOff>
    </xdr:to>
    <xdr:graphicFrame macro="">
      <xdr:nvGraphicFramePr>
        <xdr:cNvPr id="5" name="مخطط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3"/>
  <sheetViews>
    <sheetView topLeftCell="A43" zoomScale="80" zoomScaleNormal="80" workbookViewId="0">
      <selection activeCell="M313" sqref="M312:N313"/>
    </sheetView>
  </sheetViews>
  <sheetFormatPr defaultRowHeight="14.5" x14ac:dyDescent="0.35"/>
  <cols>
    <col min="2" max="2" width="6.1796875" customWidth="1"/>
    <col min="3" max="3" width="9.1796875" hidden="1" customWidth="1"/>
    <col min="4" max="4" width="9.1796875" customWidth="1"/>
    <col min="5" max="5" width="11.453125" customWidth="1"/>
    <col min="6" max="6" width="27" customWidth="1"/>
    <col min="10" max="10" width="12.81640625" customWidth="1"/>
    <col min="11" max="11" width="15.453125" customWidth="1"/>
    <col min="13" max="13" width="20" customWidth="1"/>
    <col min="14" max="14" width="18.26953125" customWidth="1"/>
    <col min="15" max="15" width="14.26953125" customWidth="1"/>
    <col min="16" max="16" width="15" customWidth="1"/>
    <col min="17" max="17" width="19.90625" customWidth="1"/>
    <col min="18" max="18" width="17" customWidth="1"/>
  </cols>
  <sheetData>
    <row r="1" spans="1: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1"/>
      <c r="T1" s="2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39.75" customHeight="1" x14ac:dyDescent="0.55000000000000004">
      <c r="A2" s="1"/>
      <c r="B2" s="1"/>
      <c r="C2" s="1"/>
      <c r="D2" s="107" t="s">
        <v>8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" customHeight="1" x14ac:dyDescent="0.35">
      <c r="A3" s="1"/>
      <c r="B3" s="1"/>
      <c r="C3" s="1"/>
      <c r="D3" s="106" t="s">
        <v>137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49.5" customHeight="1" x14ac:dyDescent="0.35">
      <c r="A4" s="1"/>
      <c r="B4" s="1"/>
      <c r="C4" s="1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35">
      <c r="A5" s="1"/>
      <c r="B5" s="1"/>
      <c r="C5" s="1"/>
      <c r="D5" s="47" t="s">
        <v>0</v>
      </c>
      <c r="E5" s="139" t="s">
        <v>32</v>
      </c>
      <c r="F5" s="139"/>
      <c r="G5" s="140" t="s">
        <v>2</v>
      </c>
      <c r="H5" s="141"/>
      <c r="I5" s="141"/>
      <c r="J5" s="142"/>
      <c r="K5" s="143" t="s">
        <v>15</v>
      </c>
      <c r="L5" s="144"/>
      <c r="M5" s="140" t="s">
        <v>116</v>
      </c>
      <c r="N5" s="141"/>
      <c r="O5" s="141"/>
      <c r="P5" s="141"/>
      <c r="Q5" s="141"/>
      <c r="R5" s="141"/>
      <c r="S5" s="145" t="s">
        <v>136</v>
      </c>
      <c r="T5" s="145"/>
      <c r="U5" s="14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5">
      <c r="A6" s="1"/>
      <c r="B6" s="1"/>
      <c r="C6" s="1"/>
      <c r="D6" s="113"/>
      <c r="E6" s="113"/>
      <c r="F6" s="113"/>
      <c r="G6" s="114"/>
      <c r="H6" s="115"/>
      <c r="I6" s="115"/>
      <c r="J6" s="116"/>
      <c r="K6" s="108"/>
      <c r="L6" s="108"/>
      <c r="M6" s="102" t="s">
        <v>19</v>
      </c>
      <c r="N6" s="102" t="s">
        <v>20</v>
      </c>
      <c r="O6" s="102" t="s">
        <v>21</v>
      </c>
      <c r="P6" s="102" t="s">
        <v>35</v>
      </c>
      <c r="Q6" s="102" t="s">
        <v>36</v>
      </c>
      <c r="R6" s="102" t="s">
        <v>37</v>
      </c>
      <c r="S6" s="102" t="s">
        <v>115</v>
      </c>
      <c r="T6" s="102" t="s">
        <v>20</v>
      </c>
      <c r="U6" s="102" t="s">
        <v>21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35">
      <c r="A7" s="1"/>
      <c r="B7" s="1"/>
      <c r="C7" s="1"/>
      <c r="D7" s="113"/>
      <c r="E7" s="113"/>
      <c r="F7" s="113"/>
      <c r="G7" s="117"/>
      <c r="H7" s="118"/>
      <c r="I7" s="118"/>
      <c r="J7" s="119"/>
      <c r="K7" s="108"/>
      <c r="L7" s="108"/>
      <c r="M7" s="102"/>
      <c r="N7" s="102"/>
      <c r="O7" s="102"/>
      <c r="P7" s="102"/>
      <c r="Q7" s="102"/>
      <c r="R7" s="102"/>
      <c r="S7" s="102"/>
      <c r="T7" s="102"/>
      <c r="U7" s="10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35">
      <c r="A8" s="1"/>
      <c r="B8" s="1"/>
      <c r="C8" s="1"/>
      <c r="D8" s="105" t="s">
        <v>10</v>
      </c>
      <c r="E8" s="122" t="s">
        <v>33</v>
      </c>
      <c r="F8" s="123"/>
      <c r="G8" s="108" t="s">
        <v>114</v>
      </c>
      <c r="H8" s="108"/>
      <c r="I8" s="108"/>
      <c r="J8" s="108"/>
      <c r="K8" s="109" t="s">
        <v>30</v>
      </c>
      <c r="L8" s="109"/>
      <c r="M8" s="37">
        <v>0.35585299999999997</v>
      </c>
      <c r="N8" s="37">
        <v>0.24077899999999999</v>
      </c>
      <c r="O8" s="37">
        <v>9.6329999999999992E-3</v>
      </c>
      <c r="P8" s="37">
        <v>153</v>
      </c>
      <c r="Q8" s="37">
        <v>0.73912999999999995</v>
      </c>
      <c r="R8" s="37">
        <v>-1.188188</v>
      </c>
      <c r="S8" s="37">
        <v>0.31188500000000002</v>
      </c>
      <c r="T8" s="37">
        <v>0.221251</v>
      </c>
      <c r="U8" s="37">
        <v>2.0098000000000001E-2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35">
      <c r="A9" s="1"/>
      <c r="B9" s="1"/>
      <c r="C9" s="1"/>
      <c r="D9" s="105"/>
      <c r="E9" s="124"/>
      <c r="F9" s="125"/>
      <c r="G9" s="108"/>
      <c r="H9" s="108"/>
      <c r="I9" s="108"/>
      <c r="J9" s="108"/>
      <c r="K9" s="110" t="s">
        <v>39</v>
      </c>
      <c r="L9" s="110"/>
      <c r="M9" s="39">
        <v>0.34957500000000002</v>
      </c>
      <c r="N9" s="39">
        <v>0.23488000000000001</v>
      </c>
      <c r="O9" s="39">
        <v>9.4359999999999999E-3</v>
      </c>
      <c r="P9" s="39">
        <v>155</v>
      </c>
      <c r="Q9" s="35">
        <v>0.74155199999999999</v>
      </c>
      <c r="R9" s="39">
        <v>-1.199179</v>
      </c>
      <c r="S9" s="39">
        <v>0.322075</v>
      </c>
      <c r="T9" s="39">
        <v>0.22714300000000001</v>
      </c>
      <c r="U9" s="39">
        <v>2.1097999999999999E-2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35">
      <c r="A10" s="1"/>
      <c r="B10" s="1"/>
      <c r="C10" s="1"/>
      <c r="D10" s="105"/>
      <c r="E10" s="124"/>
      <c r="F10" s="125"/>
      <c r="G10" s="108"/>
      <c r="H10" s="108"/>
      <c r="I10" s="108"/>
      <c r="J10" s="108"/>
      <c r="K10" s="111" t="s">
        <v>31</v>
      </c>
      <c r="L10" s="112"/>
      <c r="M10" s="37">
        <v>0.33044200000000001</v>
      </c>
      <c r="N10" s="37">
        <v>0.220438</v>
      </c>
      <c r="O10" s="37">
        <v>9.4389999999999995E-3</v>
      </c>
      <c r="P10" s="37">
        <v>140</v>
      </c>
      <c r="Q10" s="37">
        <v>0.73364399999999996</v>
      </c>
      <c r="R10" s="37">
        <v>-1.1779580000000001</v>
      </c>
      <c r="S10" s="36">
        <v>0.321295</v>
      </c>
      <c r="T10" s="36">
        <v>0.23075100000000001</v>
      </c>
      <c r="U10" s="37">
        <v>1.7722999999999999E-2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x14ac:dyDescent="0.35">
      <c r="A11" s="1"/>
      <c r="B11" s="1"/>
      <c r="C11" s="1"/>
      <c r="D11" s="105"/>
      <c r="E11" s="124"/>
      <c r="F11" s="125"/>
      <c r="G11" s="108"/>
      <c r="H11" s="108"/>
      <c r="I11" s="108"/>
      <c r="J11" s="108"/>
      <c r="K11" s="120" t="s">
        <v>51</v>
      </c>
      <c r="L11" s="121"/>
      <c r="M11" s="34">
        <v>0.303066</v>
      </c>
      <c r="N11" s="34">
        <v>0.19297300000000001</v>
      </c>
      <c r="O11" s="34">
        <v>7.2830000000000004E-3</v>
      </c>
      <c r="P11" s="39">
        <v>140</v>
      </c>
      <c r="Q11" s="34">
        <v>0.74259799999999998</v>
      </c>
      <c r="R11" s="39">
        <v>-1.142353</v>
      </c>
      <c r="S11" s="34">
        <v>0.301952</v>
      </c>
      <c r="T11" s="34">
        <v>0.21302499999999999</v>
      </c>
      <c r="U11" s="34">
        <v>1.4803999999999999E-2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x14ac:dyDescent="0.35">
      <c r="A12" s="1"/>
      <c r="B12" s="1"/>
      <c r="C12" s="1"/>
      <c r="D12" s="105"/>
      <c r="E12" s="124"/>
      <c r="F12" s="125"/>
      <c r="G12" s="108" t="s">
        <v>117</v>
      </c>
      <c r="H12" s="108"/>
      <c r="I12" s="108"/>
      <c r="J12" s="108"/>
      <c r="K12" s="109" t="s">
        <v>30</v>
      </c>
      <c r="L12" s="109"/>
      <c r="M12" s="36">
        <v>0.37587799999999999</v>
      </c>
      <c r="N12" s="36">
        <v>0.26654600000000001</v>
      </c>
      <c r="O12" s="36">
        <v>1.6038E-2</v>
      </c>
      <c r="P12" s="37">
        <v>165</v>
      </c>
      <c r="Q12" s="37">
        <v>0.68444000000000005</v>
      </c>
      <c r="R12" s="37">
        <v>-1.1411359999999999</v>
      </c>
      <c r="S12" s="37">
        <v>0.28177099999999999</v>
      </c>
      <c r="T12" s="37">
        <v>0.207006</v>
      </c>
      <c r="U12" s="36">
        <v>2.7786999999999999E-2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x14ac:dyDescent="0.35">
      <c r="A13" s="1"/>
      <c r="B13" s="1"/>
      <c r="C13" s="1"/>
      <c r="D13" s="105"/>
      <c r="E13" s="124"/>
      <c r="F13" s="125"/>
      <c r="G13" s="108"/>
      <c r="H13" s="108"/>
      <c r="I13" s="108"/>
      <c r="J13" s="108"/>
      <c r="K13" s="110" t="s">
        <v>39</v>
      </c>
      <c r="L13" s="110"/>
      <c r="M13" s="39">
        <v>0.35914200000000002</v>
      </c>
      <c r="N13" s="39">
        <v>0.24341499999999999</v>
      </c>
      <c r="O13" s="39">
        <v>1.2852000000000001E-2</v>
      </c>
      <c r="P13" s="39">
        <v>175</v>
      </c>
      <c r="Q13" s="39">
        <v>0.67852999999999997</v>
      </c>
      <c r="R13" s="39">
        <v>-1.1532100000000001</v>
      </c>
      <c r="S13" s="39">
        <v>0.28212199999999998</v>
      </c>
      <c r="T13" s="39">
        <v>0.207284</v>
      </c>
      <c r="U13" s="39">
        <v>2.6929999999999999E-2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35">
      <c r="A14" s="1"/>
      <c r="B14" s="1"/>
      <c r="C14" s="1"/>
      <c r="D14" s="105"/>
      <c r="E14" s="124"/>
      <c r="F14" s="125"/>
      <c r="G14" s="108"/>
      <c r="H14" s="108"/>
      <c r="I14" s="108"/>
      <c r="J14" s="108"/>
      <c r="K14" s="111" t="s">
        <v>31</v>
      </c>
      <c r="L14" s="112"/>
      <c r="M14" s="37">
        <v>0.34134599999999998</v>
      </c>
      <c r="N14" s="37">
        <v>0.23404</v>
      </c>
      <c r="O14" s="37">
        <v>1.2848999999999999E-2</v>
      </c>
      <c r="P14" s="37">
        <v>153</v>
      </c>
      <c r="Q14" s="37">
        <v>0.68467900000000004</v>
      </c>
      <c r="R14" s="37">
        <v>-1.1082529999999999</v>
      </c>
      <c r="S14" s="37">
        <v>0.287217</v>
      </c>
      <c r="T14" s="37">
        <v>0.212395</v>
      </c>
      <c r="U14" s="37">
        <v>2.1888999999999999E-2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x14ac:dyDescent="0.35">
      <c r="A15" s="1"/>
      <c r="B15" s="1"/>
      <c r="C15" s="1"/>
      <c r="D15" s="105"/>
      <c r="E15" s="126"/>
      <c r="F15" s="127"/>
      <c r="G15" s="108"/>
      <c r="H15" s="108"/>
      <c r="I15" s="108"/>
      <c r="J15" s="108"/>
      <c r="K15" s="120" t="s">
        <v>51</v>
      </c>
      <c r="L15" s="121"/>
      <c r="M15" s="34">
        <v>0.31082599999999999</v>
      </c>
      <c r="N15" s="34">
        <v>0.206313</v>
      </c>
      <c r="O15" s="39">
        <v>1.0448000000000001E-2</v>
      </c>
      <c r="P15" s="34">
        <v>138</v>
      </c>
      <c r="Q15" s="34">
        <v>0.67878799999999995</v>
      </c>
      <c r="R15" s="39">
        <v>-1.090463</v>
      </c>
      <c r="S15" s="34">
        <v>0.30163800000000002</v>
      </c>
      <c r="T15" s="34">
        <v>0.22534100000000001</v>
      </c>
      <c r="U15" s="34">
        <v>1.6128E-2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35">
      <c r="A16" s="1"/>
      <c r="B16" s="1"/>
      <c r="C16" s="1"/>
      <c r="D16" s="134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35">
      <c r="A17" s="1"/>
      <c r="B17" s="1"/>
      <c r="C17" s="1"/>
      <c r="D17" s="128" t="s">
        <v>47</v>
      </c>
      <c r="E17" s="86" t="s">
        <v>25</v>
      </c>
      <c r="F17" s="87"/>
      <c r="G17" s="77" t="s">
        <v>118</v>
      </c>
      <c r="H17" s="78"/>
      <c r="I17" s="78"/>
      <c r="J17" s="79"/>
      <c r="K17" s="137" t="s">
        <v>41</v>
      </c>
      <c r="L17" s="137"/>
      <c r="M17" s="37">
        <v>0.48154799999999998</v>
      </c>
      <c r="N17" s="37">
        <v>0.37114900000000001</v>
      </c>
      <c r="O17" s="37">
        <v>2.4885000000000001E-2</v>
      </c>
      <c r="P17" s="37">
        <v>206</v>
      </c>
      <c r="Q17" s="37">
        <v>0.69125899999999996</v>
      </c>
      <c r="R17" s="37">
        <v>-1.3073939999999999</v>
      </c>
      <c r="S17" s="37">
        <v>0.38693100000000002</v>
      </c>
      <c r="T17" s="37">
        <v>0.30355500000000002</v>
      </c>
      <c r="U17" s="37">
        <v>3.2246999999999998E-2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35">
      <c r="A18" s="1"/>
      <c r="B18" s="1"/>
      <c r="C18" s="1"/>
      <c r="D18" s="129"/>
      <c r="E18" s="88"/>
      <c r="F18" s="89"/>
      <c r="G18" s="80"/>
      <c r="H18" s="81"/>
      <c r="I18" s="81"/>
      <c r="J18" s="82"/>
      <c r="K18" s="138" t="s">
        <v>42</v>
      </c>
      <c r="L18" s="138"/>
      <c r="M18" s="56">
        <v>0.48380200000000001</v>
      </c>
      <c r="N18" s="56">
        <v>0.37312099999999998</v>
      </c>
      <c r="O18" s="56">
        <v>2.5059000000000001E-2</v>
      </c>
      <c r="P18" s="39">
        <v>209</v>
      </c>
      <c r="Q18" s="39">
        <v>0.69642300000000001</v>
      </c>
      <c r="R18" s="39">
        <v>-1.303348</v>
      </c>
      <c r="S18" s="39">
        <v>0.38943699999999998</v>
      </c>
      <c r="T18" s="39">
        <v>0.30632999999999999</v>
      </c>
      <c r="U18" s="39">
        <v>3.3056000000000002E-2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x14ac:dyDescent="0.35">
      <c r="A19" s="1"/>
      <c r="B19" s="1"/>
      <c r="C19" s="1"/>
      <c r="D19" s="129"/>
      <c r="E19" s="88"/>
      <c r="F19" s="89"/>
      <c r="G19" s="80"/>
      <c r="H19" s="81"/>
      <c r="I19" s="81"/>
      <c r="J19" s="82"/>
      <c r="K19" s="137" t="s">
        <v>43</v>
      </c>
      <c r="L19" s="137"/>
      <c r="M19" s="37">
        <v>0.48255999999999999</v>
      </c>
      <c r="N19" s="37">
        <v>0.37147799999999997</v>
      </c>
      <c r="O19" s="37">
        <v>2.4874E-2</v>
      </c>
      <c r="P19" s="37">
        <v>209</v>
      </c>
      <c r="Q19" s="37">
        <v>0.69348900000000002</v>
      </c>
      <c r="R19" s="37">
        <v>-1.314063</v>
      </c>
      <c r="S19" s="37">
        <v>0.39250499999999999</v>
      </c>
      <c r="T19" s="37">
        <v>0.29688599999999998</v>
      </c>
      <c r="U19" s="37">
        <v>2.3309E-2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x14ac:dyDescent="0.35">
      <c r="A20" s="1"/>
      <c r="B20" s="1"/>
      <c r="C20" s="1"/>
      <c r="D20" s="129"/>
      <c r="E20" s="88"/>
      <c r="F20" s="89"/>
      <c r="G20" s="80"/>
      <c r="H20" s="81"/>
      <c r="I20" s="81"/>
      <c r="J20" s="82"/>
      <c r="K20" s="138" t="s">
        <v>44</v>
      </c>
      <c r="L20" s="138"/>
      <c r="M20" s="39">
        <v>0.471669</v>
      </c>
      <c r="N20" s="39">
        <v>0.360043</v>
      </c>
      <c r="O20" s="39">
        <v>2.1873E-2</v>
      </c>
      <c r="P20" s="55">
        <v>204</v>
      </c>
      <c r="Q20" s="55">
        <v>0.70150500000000005</v>
      </c>
      <c r="R20" s="55">
        <v>-1.289782</v>
      </c>
      <c r="S20" s="39">
        <v>0.39183600000000002</v>
      </c>
      <c r="T20" s="39">
        <v>0.31062200000000001</v>
      </c>
      <c r="U20" s="39">
        <v>3.2667000000000002E-2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35">
      <c r="A21" s="1"/>
      <c r="B21" s="1"/>
      <c r="C21" s="1"/>
      <c r="D21" s="129"/>
      <c r="E21" s="88"/>
      <c r="F21" s="89"/>
      <c r="G21" s="83"/>
      <c r="H21" s="84"/>
      <c r="I21" s="84"/>
      <c r="J21" s="85"/>
      <c r="K21" s="137" t="s">
        <v>45</v>
      </c>
      <c r="L21" s="137"/>
      <c r="M21" s="37">
        <v>0.45004100000000002</v>
      </c>
      <c r="N21" s="37">
        <v>0.33469300000000002</v>
      </c>
      <c r="O21" s="37">
        <v>1.9816E-2</v>
      </c>
      <c r="P21" s="37">
        <v>207</v>
      </c>
      <c r="Q21" s="37">
        <v>0.70625300000000002</v>
      </c>
      <c r="R21" s="37">
        <v>-1.267455</v>
      </c>
      <c r="S21" s="36">
        <v>0.40412700000000001</v>
      </c>
      <c r="T21" s="36">
        <v>0.31427300000000002</v>
      </c>
      <c r="U21" s="36">
        <v>3.5768000000000001E-2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x14ac:dyDescent="0.35">
      <c r="A22" s="1"/>
      <c r="B22" s="1"/>
      <c r="C22" s="1"/>
      <c r="D22" s="129"/>
      <c r="E22" s="88"/>
      <c r="F22" s="89"/>
      <c r="G22" s="77" t="s">
        <v>119</v>
      </c>
      <c r="H22" s="78"/>
      <c r="I22" s="78"/>
      <c r="J22" s="79"/>
      <c r="K22" s="137" t="s">
        <v>41</v>
      </c>
      <c r="L22" s="137"/>
      <c r="M22" s="37">
        <v>0.44323699999999999</v>
      </c>
      <c r="N22" s="37">
        <v>0.31939000000000001</v>
      </c>
      <c r="O22" s="37">
        <v>1.6938000000000002E-2</v>
      </c>
      <c r="P22" s="37">
        <v>214</v>
      </c>
      <c r="Q22" s="36">
        <v>0.70965599999999995</v>
      </c>
      <c r="R22" s="37">
        <v>-1.299491</v>
      </c>
      <c r="S22" s="37">
        <v>0.36468299999999998</v>
      </c>
      <c r="T22" s="37">
        <v>0.277028</v>
      </c>
      <c r="U22" s="37">
        <v>2.4281E-2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35">
      <c r="A23" s="1"/>
      <c r="B23" s="1"/>
      <c r="C23" s="1"/>
      <c r="D23" s="129"/>
      <c r="E23" s="88"/>
      <c r="F23" s="89"/>
      <c r="G23" s="80"/>
      <c r="H23" s="81"/>
      <c r="I23" s="81"/>
      <c r="J23" s="82"/>
      <c r="K23" s="138" t="s">
        <v>42</v>
      </c>
      <c r="L23" s="138"/>
      <c r="M23" s="39">
        <v>0.44309399999999999</v>
      </c>
      <c r="N23" s="39">
        <v>0.31882899999999997</v>
      </c>
      <c r="O23" s="39">
        <v>1.6879000000000002E-2</v>
      </c>
      <c r="P23" s="39">
        <v>216</v>
      </c>
      <c r="Q23" s="39">
        <v>0.70876499999999998</v>
      </c>
      <c r="R23" s="39">
        <v>-1.292489</v>
      </c>
      <c r="S23" s="39">
        <v>0.36230699999999999</v>
      </c>
      <c r="T23" s="39">
        <v>0.27290999999999999</v>
      </c>
      <c r="U23" s="39">
        <v>2.3226E-2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x14ac:dyDescent="0.35">
      <c r="A24" s="1"/>
      <c r="B24" s="1"/>
      <c r="C24" s="1"/>
      <c r="D24" s="129"/>
      <c r="E24" s="88"/>
      <c r="F24" s="89"/>
      <c r="G24" s="80"/>
      <c r="H24" s="81"/>
      <c r="I24" s="81"/>
      <c r="J24" s="82"/>
      <c r="K24" s="137" t="s">
        <v>43</v>
      </c>
      <c r="L24" s="137"/>
      <c r="M24" s="37">
        <v>0.442361</v>
      </c>
      <c r="N24" s="37">
        <v>0.31702999999999998</v>
      </c>
      <c r="O24" s="37">
        <v>1.6548E-2</v>
      </c>
      <c r="P24" s="37">
        <v>220</v>
      </c>
      <c r="Q24" s="37">
        <v>0.70854399999999995</v>
      </c>
      <c r="R24" s="37">
        <v>-1.3034969999999999</v>
      </c>
      <c r="S24" s="37">
        <v>0.36194599999999999</v>
      </c>
      <c r="T24" s="37">
        <v>0.27477800000000002</v>
      </c>
      <c r="U24" s="37">
        <v>2.0199999999999999E-2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x14ac:dyDescent="0.35">
      <c r="A25" s="1"/>
      <c r="B25" s="1"/>
      <c r="C25" s="1"/>
      <c r="D25" s="129"/>
      <c r="E25" s="88"/>
      <c r="F25" s="89"/>
      <c r="G25" s="80"/>
      <c r="H25" s="81"/>
      <c r="I25" s="81"/>
      <c r="J25" s="82"/>
      <c r="K25" s="138" t="s">
        <v>44</v>
      </c>
      <c r="L25" s="138"/>
      <c r="M25" s="39">
        <v>0.44001200000000001</v>
      </c>
      <c r="N25" s="39">
        <v>0.31568800000000002</v>
      </c>
      <c r="O25" s="39">
        <v>1.6084000000000001E-2</v>
      </c>
      <c r="P25" s="39">
        <v>213</v>
      </c>
      <c r="Q25" s="39">
        <v>0.71977400000000002</v>
      </c>
      <c r="R25" s="39">
        <v>-1.273234</v>
      </c>
      <c r="S25" s="39">
        <v>0.36179699999999998</v>
      </c>
      <c r="T25" s="39">
        <v>0.26854499999999998</v>
      </c>
      <c r="U25" s="39">
        <v>2.9977E-2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x14ac:dyDescent="0.35">
      <c r="A26" s="1"/>
      <c r="B26" s="1"/>
      <c r="C26" s="1"/>
      <c r="D26" s="129"/>
      <c r="E26" s="90"/>
      <c r="F26" s="91"/>
      <c r="G26" s="83"/>
      <c r="H26" s="84"/>
      <c r="I26" s="84"/>
      <c r="J26" s="85"/>
      <c r="K26" s="137" t="s">
        <v>45</v>
      </c>
      <c r="L26" s="137"/>
      <c r="M26" s="37">
        <v>0.43282700000000002</v>
      </c>
      <c r="N26" s="37">
        <v>0.30515199999999998</v>
      </c>
      <c r="O26" s="37">
        <v>1.4657999999999999E-2</v>
      </c>
      <c r="P26" s="37">
        <v>219</v>
      </c>
      <c r="Q26" s="37">
        <v>0.72680100000000003</v>
      </c>
      <c r="R26" s="37">
        <v>-1.2217100000000001</v>
      </c>
      <c r="S26" s="37">
        <v>0.35126299999999999</v>
      </c>
      <c r="T26" s="37">
        <v>0.24612200000000001</v>
      </c>
      <c r="U26" s="37">
        <v>1.1315E-2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x14ac:dyDescent="0.35">
      <c r="A27" s="1"/>
      <c r="B27" s="1"/>
      <c r="C27" s="1"/>
      <c r="D27" s="134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x14ac:dyDescent="0.35">
      <c r="A28" s="1"/>
      <c r="B28" s="1"/>
      <c r="C28" s="1"/>
      <c r="D28" s="105" t="s">
        <v>61</v>
      </c>
      <c r="E28" s="94" t="s">
        <v>27</v>
      </c>
      <c r="F28" s="95"/>
      <c r="G28" s="92" t="s">
        <v>120</v>
      </c>
      <c r="H28" s="92"/>
      <c r="I28" s="92"/>
      <c r="J28" s="92"/>
      <c r="K28" s="73" t="s">
        <v>53</v>
      </c>
      <c r="L28" s="73"/>
      <c r="M28" s="57">
        <v>0.35934300000000002</v>
      </c>
      <c r="N28" s="57">
        <v>0.19020500000000001</v>
      </c>
      <c r="O28" s="57">
        <v>8.3070000000000001E-3</v>
      </c>
      <c r="P28" s="57">
        <v>201</v>
      </c>
      <c r="Q28" s="57">
        <v>0.72982599999999997</v>
      </c>
      <c r="R28" s="57">
        <v>-1.2568809999999999</v>
      </c>
      <c r="S28" s="57">
        <v>0.31278800000000001</v>
      </c>
      <c r="T28" s="57">
        <v>0.22032499999999999</v>
      </c>
      <c r="U28" s="57">
        <v>-4.0499999999999998E-3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35">
      <c r="A29" s="1"/>
      <c r="B29" s="1"/>
      <c r="C29" s="1"/>
      <c r="D29" s="105"/>
      <c r="E29" s="96"/>
      <c r="F29" s="97"/>
      <c r="G29" s="92"/>
      <c r="H29" s="92"/>
      <c r="I29" s="92"/>
      <c r="J29" s="92"/>
      <c r="K29" s="75" t="s">
        <v>55</v>
      </c>
      <c r="L29" s="76"/>
      <c r="M29" s="58">
        <v>0.34822199999999998</v>
      </c>
      <c r="N29" s="58">
        <v>0.20075899999999999</v>
      </c>
      <c r="O29" s="58">
        <v>8.9309999999999997E-3</v>
      </c>
      <c r="P29" s="58">
        <v>191</v>
      </c>
      <c r="Q29" s="58">
        <v>0.73021499999999995</v>
      </c>
      <c r="R29" s="58">
        <v>-1.229754</v>
      </c>
      <c r="S29" s="58">
        <v>0.312915</v>
      </c>
      <c r="T29" s="58">
        <v>0.21509600000000001</v>
      </c>
      <c r="U29" s="58">
        <v>-1.382E-3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x14ac:dyDescent="0.35">
      <c r="A30" s="1"/>
      <c r="B30" s="1"/>
      <c r="C30" s="1"/>
      <c r="D30" s="105"/>
      <c r="E30" s="96"/>
      <c r="F30" s="97"/>
      <c r="G30" s="92"/>
      <c r="H30" s="92"/>
      <c r="I30" s="92"/>
      <c r="J30" s="92"/>
      <c r="K30" s="73" t="s">
        <v>54</v>
      </c>
      <c r="L30" s="73"/>
      <c r="M30" s="57">
        <v>0.33243299999999998</v>
      </c>
      <c r="N30" s="57">
        <v>0.21875700000000001</v>
      </c>
      <c r="O30" s="57">
        <v>1.0597000000000001E-2</v>
      </c>
      <c r="P30" s="57">
        <v>194</v>
      </c>
      <c r="Q30" s="57">
        <v>0.73687800000000003</v>
      </c>
      <c r="R30" s="57">
        <v>-1.221325</v>
      </c>
      <c r="S30" s="57">
        <v>0.315915</v>
      </c>
      <c r="T30" s="57">
        <v>0.221388</v>
      </c>
      <c r="U30" s="57">
        <v>2.895E-3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x14ac:dyDescent="0.35">
      <c r="A31" s="1"/>
      <c r="B31" s="1"/>
      <c r="C31" s="1"/>
      <c r="D31" s="105"/>
      <c r="E31" s="96"/>
      <c r="F31" s="97"/>
      <c r="G31" s="92"/>
      <c r="H31" s="92"/>
      <c r="I31" s="92"/>
      <c r="J31" s="92"/>
      <c r="K31" s="75" t="s">
        <v>56</v>
      </c>
      <c r="L31" s="76"/>
      <c r="M31" s="58">
        <v>0.319878</v>
      </c>
      <c r="N31" s="58">
        <v>0.226077</v>
      </c>
      <c r="O31" s="58">
        <v>1.0573000000000001E-2</v>
      </c>
      <c r="P31" s="58">
        <v>187</v>
      </c>
      <c r="Q31" s="58">
        <v>0.73614999999999997</v>
      </c>
      <c r="R31" s="58">
        <v>-1.2093529999999999</v>
      </c>
      <c r="S31" s="58">
        <v>0.32431300000000002</v>
      </c>
      <c r="T31" s="58">
        <v>0.218584</v>
      </c>
      <c r="U31" s="58">
        <v>-1.0820000000000001E-3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x14ac:dyDescent="0.35">
      <c r="A32" s="1"/>
      <c r="B32" s="1"/>
      <c r="C32" s="1"/>
      <c r="D32" s="105"/>
      <c r="E32" s="96"/>
      <c r="F32" s="97"/>
      <c r="G32" s="92" t="s">
        <v>121</v>
      </c>
      <c r="H32" s="92"/>
      <c r="I32" s="92"/>
      <c r="J32" s="92"/>
      <c r="K32" s="73" t="s">
        <v>53</v>
      </c>
      <c r="L32" s="73"/>
      <c r="M32" s="57">
        <v>0.387295</v>
      </c>
      <c r="N32" s="57">
        <v>0.25816299999999998</v>
      </c>
      <c r="O32" s="57">
        <v>1.4614E-2</v>
      </c>
      <c r="P32" s="57">
        <v>208</v>
      </c>
      <c r="Q32" s="57">
        <v>0.69104100000000002</v>
      </c>
      <c r="R32" s="57">
        <v>-1.2460100000000001</v>
      </c>
      <c r="S32" s="57">
        <v>0.34655599999999998</v>
      </c>
      <c r="T32" s="57">
        <v>0.27660000000000001</v>
      </c>
      <c r="U32" s="57">
        <v>0.130692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35">
      <c r="A33" s="1"/>
      <c r="B33" s="1"/>
      <c r="C33" s="1"/>
      <c r="D33" s="105"/>
      <c r="E33" s="96"/>
      <c r="F33" s="97"/>
      <c r="G33" s="92"/>
      <c r="H33" s="92"/>
      <c r="I33" s="92"/>
      <c r="J33" s="92"/>
      <c r="K33" s="75" t="s">
        <v>55</v>
      </c>
      <c r="L33" s="76"/>
      <c r="M33" s="58">
        <v>0.37797900000000001</v>
      </c>
      <c r="N33" s="58">
        <v>0.25362000000000001</v>
      </c>
      <c r="O33" s="58">
        <v>1.4083E-2</v>
      </c>
      <c r="P33" s="58">
        <v>192</v>
      </c>
      <c r="Q33" s="58">
        <v>0.68504799999999999</v>
      </c>
      <c r="R33" s="58">
        <v>-1.205975</v>
      </c>
      <c r="S33" s="58">
        <v>0.33642499999999997</v>
      </c>
      <c r="T33" s="58">
        <v>0.26166200000000001</v>
      </c>
      <c r="U33" s="58">
        <v>0.12435499999999999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35">
      <c r="A34" s="1"/>
      <c r="B34" s="1"/>
      <c r="C34" s="1"/>
      <c r="D34" s="105"/>
      <c r="E34" s="96"/>
      <c r="F34" s="97"/>
      <c r="G34" s="92"/>
      <c r="H34" s="92"/>
      <c r="I34" s="92"/>
      <c r="J34" s="92"/>
      <c r="K34" s="73" t="s">
        <v>54</v>
      </c>
      <c r="L34" s="73"/>
      <c r="M34" s="57">
        <v>0.37633699999999998</v>
      </c>
      <c r="N34" s="57">
        <v>0.25018499999999999</v>
      </c>
      <c r="O34" s="57">
        <v>1.3781E-2</v>
      </c>
      <c r="P34" s="57">
        <v>199</v>
      </c>
      <c r="Q34" s="57">
        <v>0.67860900000000002</v>
      </c>
      <c r="R34" s="57">
        <v>-1.2199329999999999</v>
      </c>
      <c r="S34" s="57">
        <v>0.33428400000000003</v>
      </c>
      <c r="T34" s="57">
        <v>0.260936</v>
      </c>
      <c r="U34" s="57">
        <v>0.12153700000000001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35">
      <c r="A35" s="1"/>
      <c r="B35" s="1"/>
      <c r="C35" s="1"/>
      <c r="D35" s="105"/>
      <c r="E35" s="98"/>
      <c r="F35" s="99"/>
      <c r="G35" s="92"/>
      <c r="H35" s="92"/>
      <c r="I35" s="92"/>
      <c r="J35" s="92"/>
      <c r="K35" s="75" t="s">
        <v>56</v>
      </c>
      <c r="L35" s="76"/>
      <c r="M35" s="58">
        <v>0.36342799999999997</v>
      </c>
      <c r="N35" s="58">
        <v>0.23141700000000001</v>
      </c>
      <c r="O35" s="58">
        <v>1.0069E-2</v>
      </c>
      <c r="P35" s="58">
        <v>200</v>
      </c>
      <c r="Q35" s="58">
        <v>0.68967900000000004</v>
      </c>
      <c r="R35" s="58">
        <v>-1.249954</v>
      </c>
      <c r="S35" s="58">
        <v>0.28971599999999997</v>
      </c>
      <c r="T35" s="58">
        <v>0.194963</v>
      </c>
      <c r="U35" s="58">
        <v>6.3544000000000003E-2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x14ac:dyDescent="0.35">
      <c r="A36" s="1"/>
      <c r="B36" s="1"/>
      <c r="C36" s="1"/>
      <c r="D36" s="134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6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x14ac:dyDescent="0.35">
      <c r="A37" s="1"/>
      <c r="B37" s="1"/>
      <c r="C37" s="1"/>
      <c r="D37" s="128" t="s">
        <v>62</v>
      </c>
      <c r="E37" s="94" t="s">
        <v>57</v>
      </c>
      <c r="F37" s="95"/>
      <c r="G37" s="92" t="s">
        <v>122</v>
      </c>
      <c r="H37" s="92"/>
      <c r="I37" s="92"/>
      <c r="J37" s="92"/>
      <c r="K37" s="73" t="s">
        <v>69</v>
      </c>
      <c r="L37" s="73"/>
      <c r="M37" s="57">
        <v>0.35217799999999999</v>
      </c>
      <c r="N37" s="57">
        <v>0.22686700000000001</v>
      </c>
      <c r="O37" s="57">
        <v>1.0364999999999999E-2</v>
      </c>
      <c r="P37" s="57">
        <v>187</v>
      </c>
      <c r="Q37" s="57">
        <v>0.73185500000000003</v>
      </c>
      <c r="R37" s="57">
        <v>-1.2336910000000001</v>
      </c>
      <c r="S37" s="57">
        <v>0.29643199999999997</v>
      </c>
      <c r="T37" s="57">
        <v>0.22234599999999999</v>
      </c>
      <c r="U37" s="57">
        <v>1.4344000000000001E-2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x14ac:dyDescent="0.35">
      <c r="A38" s="1"/>
      <c r="B38" s="1"/>
      <c r="C38" s="1"/>
      <c r="D38" s="129"/>
      <c r="E38" s="96"/>
      <c r="F38" s="97"/>
      <c r="G38" s="92"/>
      <c r="H38" s="92"/>
      <c r="I38" s="92"/>
      <c r="J38" s="92"/>
      <c r="K38" s="75" t="s">
        <v>70</v>
      </c>
      <c r="L38" s="76"/>
      <c r="M38" s="58">
        <v>0.32946799999999998</v>
      </c>
      <c r="N38" s="58">
        <v>0.206236</v>
      </c>
      <c r="O38" s="58">
        <v>7.9439999999999997E-3</v>
      </c>
      <c r="P38" s="58">
        <v>179</v>
      </c>
      <c r="Q38" s="58">
        <v>0.75222299999999997</v>
      </c>
      <c r="R38" s="58">
        <v>-1.2274099999999999</v>
      </c>
      <c r="S38" s="58">
        <v>0.29596600000000001</v>
      </c>
      <c r="T38" s="58">
        <v>0.21965699999999999</v>
      </c>
      <c r="U38" s="58">
        <v>1.1429999999999999E-2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x14ac:dyDescent="0.35">
      <c r="A39" s="1"/>
      <c r="B39" s="1"/>
      <c r="C39" s="1"/>
      <c r="D39" s="129"/>
      <c r="E39" s="96"/>
      <c r="F39" s="97"/>
      <c r="G39" s="92"/>
      <c r="H39" s="92"/>
      <c r="I39" s="92"/>
      <c r="J39" s="92"/>
      <c r="K39" s="73" t="s">
        <v>72</v>
      </c>
      <c r="L39" s="73"/>
      <c r="M39" s="57">
        <v>0.32455699999999998</v>
      </c>
      <c r="N39" s="57">
        <v>0.20072799999999999</v>
      </c>
      <c r="O39" s="57">
        <v>7.4520000000000003E-3</v>
      </c>
      <c r="P39" s="57">
        <v>180</v>
      </c>
      <c r="Q39" s="57">
        <v>0.75620399999999999</v>
      </c>
      <c r="R39" s="57">
        <v>-1.227514</v>
      </c>
      <c r="S39" s="57">
        <v>0.299238</v>
      </c>
      <c r="T39" s="57">
        <v>0.21931100000000001</v>
      </c>
      <c r="U39" s="57">
        <v>1.8549E-2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x14ac:dyDescent="0.35">
      <c r="A40" s="1"/>
      <c r="B40" s="1"/>
      <c r="C40" s="1"/>
      <c r="D40" s="129"/>
      <c r="E40" s="96"/>
      <c r="F40" s="97"/>
      <c r="G40" s="92"/>
      <c r="H40" s="92"/>
      <c r="I40" s="92"/>
      <c r="J40" s="92"/>
      <c r="K40" s="75" t="s">
        <v>71</v>
      </c>
      <c r="L40" s="76"/>
      <c r="M40" s="58">
        <v>0.308002</v>
      </c>
      <c r="N40" s="58">
        <v>0.188361</v>
      </c>
      <c r="O40" s="58">
        <v>6.7850000000000002E-3</v>
      </c>
      <c r="P40" s="58">
        <v>166</v>
      </c>
      <c r="Q40" s="58">
        <v>0.75960099999999997</v>
      </c>
      <c r="R40" s="58">
        <v>-1.200637</v>
      </c>
      <c r="S40" s="58">
        <v>0.317361</v>
      </c>
      <c r="T40" s="58">
        <v>0.23011400000000001</v>
      </c>
      <c r="U40" s="58">
        <v>1.5502E-2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x14ac:dyDescent="0.35">
      <c r="A41" s="1"/>
      <c r="B41" s="1"/>
      <c r="C41" s="1"/>
      <c r="D41" s="129"/>
      <c r="E41" s="96"/>
      <c r="F41" s="97"/>
      <c r="G41" s="92" t="s">
        <v>123</v>
      </c>
      <c r="H41" s="92"/>
      <c r="I41" s="92"/>
      <c r="J41" s="92"/>
      <c r="K41" s="73" t="s">
        <v>69</v>
      </c>
      <c r="L41" s="73"/>
      <c r="M41" s="57">
        <v>0.35052100000000003</v>
      </c>
      <c r="N41" s="57">
        <v>8.7449999999999993E-3</v>
      </c>
      <c r="O41" s="57">
        <v>0.215391</v>
      </c>
      <c r="P41" s="57">
        <v>203</v>
      </c>
      <c r="Q41" s="57">
        <v>0.71049799999999996</v>
      </c>
      <c r="R41" s="57">
        <v>-1.2593300000000001</v>
      </c>
      <c r="S41" s="57">
        <v>0.26419799999999999</v>
      </c>
      <c r="T41" s="57">
        <v>0.18948899999999999</v>
      </c>
      <c r="U41" s="57">
        <v>4.5879999999999997E-2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x14ac:dyDescent="0.35">
      <c r="A42" s="1"/>
      <c r="B42" s="1"/>
      <c r="C42" s="1"/>
      <c r="D42" s="129"/>
      <c r="E42" s="96"/>
      <c r="F42" s="97"/>
      <c r="G42" s="92"/>
      <c r="H42" s="92"/>
      <c r="I42" s="92"/>
      <c r="J42" s="92"/>
      <c r="K42" s="75" t="s">
        <v>70</v>
      </c>
      <c r="L42" s="76"/>
      <c r="M42" s="58">
        <v>0.35109800000000002</v>
      </c>
      <c r="N42" s="58">
        <v>7.5069999999999998E-3</v>
      </c>
      <c r="O42" s="58">
        <v>0.21829599999999999</v>
      </c>
      <c r="P42" s="58">
        <v>202</v>
      </c>
      <c r="Q42" s="58">
        <v>0.69991499999999995</v>
      </c>
      <c r="R42" s="58">
        <v>-1.261755</v>
      </c>
      <c r="S42" s="58">
        <v>0.25818000000000002</v>
      </c>
      <c r="T42" s="58">
        <v>0.185309</v>
      </c>
      <c r="U42" s="58">
        <v>5.0484000000000001E-2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35">
      <c r="A43" s="1"/>
      <c r="B43" s="1"/>
      <c r="C43" s="1"/>
      <c r="D43" s="129"/>
      <c r="E43" s="96"/>
      <c r="F43" s="97"/>
      <c r="G43" s="92"/>
      <c r="H43" s="92"/>
      <c r="I43" s="92"/>
      <c r="J43" s="92"/>
      <c r="K43" s="73" t="s">
        <v>72</v>
      </c>
      <c r="L43" s="73"/>
      <c r="M43" s="57">
        <v>0.35003400000000001</v>
      </c>
      <c r="N43" s="57">
        <v>8.2979999999999998E-3</v>
      </c>
      <c r="O43" s="57">
        <v>0.21862400000000001</v>
      </c>
      <c r="P43" s="57">
        <v>199</v>
      </c>
      <c r="Q43" s="57">
        <v>0.69679800000000003</v>
      </c>
      <c r="R43" s="57">
        <v>-1.244996</v>
      </c>
      <c r="S43" s="57">
        <v>0.26023400000000002</v>
      </c>
      <c r="T43" s="57">
        <v>0.18539700000000001</v>
      </c>
      <c r="U43" s="57">
        <v>4.9415000000000001E-2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x14ac:dyDescent="0.35">
      <c r="A44" s="1"/>
      <c r="B44" s="1"/>
      <c r="C44" s="1"/>
      <c r="D44" s="130"/>
      <c r="E44" s="96"/>
      <c r="F44" s="97"/>
      <c r="G44" s="93"/>
      <c r="H44" s="93"/>
      <c r="I44" s="93"/>
      <c r="J44" s="93"/>
      <c r="K44" s="75" t="s">
        <v>71</v>
      </c>
      <c r="L44" s="76"/>
      <c r="M44" s="59">
        <v>0.34208499999999997</v>
      </c>
      <c r="N44" s="59">
        <v>9.0109999999999999E-3</v>
      </c>
      <c r="O44" s="59">
        <v>0.21709200000000001</v>
      </c>
      <c r="P44" s="59">
        <v>186</v>
      </c>
      <c r="Q44" s="59">
        <v>0.68694100000000002</v>
      </c>
      <c r="R44" s="59">
        <v>-1.2014069999999999</v>
      </c>
      <c r="S44" s="59">
        <v>0.274146</v>
      </c>
      <c r="T44" s="59">
        <v>0.19326699999999999</v>
      </c>
      <c r="U44" s="59">
        <v>4.2847999999999997E-2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35">
      <c r="A45" s="1"/>
      <c r="B45" s="1"/>
      <c r="C45" s="1"/>
      <c r="D45" s="131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x14ac:dyDescent="0.35">
      <c r="A46" s="1"/>
      <c r="B46" s="1"/>
      <c r="C46" s="1"/>
      <c r="D46" s="128" t="s">
        <v>63</v>
      </c>
      <c r="E46" s="94" t="s">
        <v>124</v>
      </c>
      <c r="F46" s="95"/>
      <c r="G46" s="92" t="s">
        <v>128</v>
      </c>
      <c r="H46" s="92"/>
      <c r="I46" s="92"/>
      <c r="J46" s="92"/>
      <c r="K46" s="73" t="s">
        <v>130</v>
      </c>
      <c r="L46" s="73"/>
      <c r="M46" s="57">
        <v>0.36855300000000002</v>
      </c>
      <c r="N46" s="57">
        <v>0.25365300000000002</v>
      </c>
      <c r="O46" s="57">
        <v>1.1641E-2</v>
      </c>
      <c r="P46" s="57">
        <v>175</v>
      </c>
      <c r="Q46" s="57">
        <v>0.68434899999999999</v>
      </c>
      <c r="R46" s="57">
        <v>-1.194469</v>
      </c>
      <c r="S46" s="57">
        <v>0.31406000000000001</v>
      </c>
      <c r="T46" s="57">
        <v>0.21653800000000001</v>
      </c>
      <c r="U46" s="57">
        <v>2.0643999999999999E-2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x14ac:dyDescent="0.35">
      <c r="A47" s="1"/>
      <c r="B47" s="1"/>
      <c r="C47" s="1"/>
      <c r="D47" s="129"/>
      <c r="E47" s="96"/>
      <c r="F47" s="97"/>
      <c r="G47" s="92"/>
      <c r="H47" s="92"/>
      <c r="I47" s="92"/>
      <c r="J47" s="92"/>
      <c r="K47" s="75" t="s">
        <v>129</v>
      </c>
      <c r="L47" s="76"/>
      <c r="M47" s="58">
        <v>0.36718800000000001</v>
      </c>
      <c r="N47" s="58">
        <v>0.25360899999999997</v>
      </c>
      <c r="O47" s="58">
        <v>1.1620999999999999E-2</v>
      </c>
      <c r="P47" s="58">
        <v>170</v>
      </c>
      <c r="Q47" s="58">
        <v>0.68404600000000004</v>
      </c>
      <c r="R47" s="58">
        <v>-1.175087</v>
      </c>
      <c r="S47" s="58">
        <v>0.31204999999999999</v>
      </c>
      <c r="T47" s="58">
        <v>0.21437999999999999</v>
      </c>
      <c r="U47" s="58">
        <v>1.9185000000000001E-2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x14ac:dyDescent="0.35">
      <c r="A48" s="1"/>
      <c r="B48" s="1"/>
      <c r="C48" s="1"/>
      <c r="D48" s="129"/>
      <c r="E48" s="96"/>
      <c r="F48" s="97"/>
      <c r="G48" s="92"/>
      <c r="H48" s="92"/>
      <c r="I48" s="92"/>
      <c r="J48" s="92"/>
      <c r="K48" s="73" t="s">
        <v>126</v>
      </c>
      <c r="L48" s="73"/>
      <c r="M48" s="57">
        <v>0.35172700000000001</v>
      </c>
      <c r="N48" s="57">
        <v>0.24899399999999999</v>
      </c>
      <c r="O48" s="57">
        <v>8.9669999999999993E-3</v>
      </c>
      <c r="P48" s="57">
        <v>181</v>
      </c>
      <c r="Q48" s="57">
        <v>0.69000600000000001</v>
      </c>
      <c r="R48" s="57">
        <v>-1.187627</v>
      </c>
      <c r="S48" s="57">
        <v>0.308336</v>
      </c>
      <c r="T48" s="57">
        <v>0.205515</v>
      </c>
      <c r="U48" s="57">
        <v>6.4689999999999999E-3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x14ac:dyDescent="0.35">
      <c r="A49" s="1"/>
      <c r="B49" s="1"/>
      <c r="C49" s="1"/>
      <c r="D49" s="129"/>
      <c r="E49" s="96"/>
      <c r="F49" s="97"/>
      <c r="G49" s="92"/>
      <c r="H49" s="92"/>
      <c r="I49" s="92"/>
      <c r="J49" s="92"/>
      <c r="K49" s="75" t="s">
        <v>127</v>
      </c>
      <c r="L49" s="76"/>
      <c r="M49" s="58">
        <v>0.33520499999999998</v>
      </c>
      <c r="N49" s="58">
        <v>0.21376400000000001</v>
      </c>
      <c r="O49" s="58">
        <v>7.724E-3</v>
      </c>
      <c r="P49" s="58">
        <v>174</v>
      </c>
      <c r="Q49" s="58">
        <v>0.69608300000000001</v>
      </c>
      <c r="R49" s="58">
        <v>-1.182909</v>
      </c>
      <c r="S49" s="58">
        <v>0.32159900000000002</v>
      </c>
      <c r="T49" s="58">
        <v>0.224411</v>
      </c>
      <c r="U49" s="58">
        <v>2.7921000000000001E-2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x14ac:dyDescent="0.35">
      <c r="A50" s="1"/>
      <c r="B50" s="1"/>
      <c r="C50" s="1"/>
      <c r="D50" s="129"/>
      <c r="E50" s="96"/>
      <c r="F50" s="97"/>
      <c r="G50" s="92" t="s">
        <v>134</v>
      </c>
      <c r="H50" s="92"/>
      <c r="I50" s="92"/>
      <c r="J50" s="92"/>
      <c r="K50" s="73" t="s">
        <v>130</v>
      </c>
      <c r="L50" s="73"/>
      <c r="M50" s="57">
        <v>0.347912</v>
      </c>
      <c r="N50" s="57">
        <v>0.21388599999999999</v>
      </c>
      <c r="O50" s="57">
        <v>8.3909999999999992E-3</v>
      </c>
      <c r="P50" s="57">
        <v>205</v>
      </c>
      <c r="Q50" s="57">
        <v>0.72557700000000003</v>
      </c>
      <c r="R50" s="57">
        <v>-1.243905</v>
      </c>
      <c r="S50" s="57">
        <v>0.318712</v>
      </c>
      <c r="T50" s="57">
        <v>0.22150800000000001</v>
      </c>
      <c r="U50" s="57">
        <v>8.3660000000000002E-3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x14ac:dyDescent="0.35">
      <c r="A51" s="1"/>
      <c r="B51" s="1"/>
      <c r="C51" s="1"/>
      <c r="D51" s="129"/>
      <c r="E51" s="96"/>
      <c r="F51" s="97"/>
      <c r="G51" s="92"/>
      <c r="H51" s="92"/>
      <c r="I51" s="92"/>
      <c r="J51" s="92"/>
      <c r="K51" s="75" t="s">
        <v>129</v>
      </c>
      <c r="L51" s="76"/>
      <c r="M51" s="58">
        <v>0.34376499999999999</v>
      </c>
      <c r="N51" s="58">
        <v>0.20922499999999999</v>
      </c>
      <c r="O51" s="58">
        <v>7.424E-3</v>
      </c>
      <c r="P51" s="58">
        <v>203</v>
      </c>
      <c r="Q51" s="58">
        <v>0.72347700000000004</v>
      </c>
      <c r="R51" s="58">
        <v>-1.260316</v>
      </c>
      <c r="S51" s="58">
        <v>0.32381100000000002</v>
      </c>
      <c r="T51" s="58">
        <v>0.22708400000000001</v>
      </c>
      <c r="U51" s="58">
        <v>1.0540000000000001E-2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x14ac:dyDescent="0.35">
      <c r="A52" s="1"/>
      <c r="B52" s="1"/>
      <c r="C52" s="1"/>
      <c r="D52" s="129"/>
      <c r="E52" s="96"/>
      <c r="F52" s="97"/>
      <c r="G52" s="92"/>
      <c r="H52" s="92"/>
      <c r="I52" s="92"/>
      <c r="J52" s="92"/>
      <c r="K52" s="73" t="s">
        <v>126</v>
      </c>
      <c r="L52" s="73"/>
      <c r="M52" s="57">
        <v>0.34677000000000002</v>
      </c>
      <c r="N52" s="57">
        <v>0.21159600000000001</v>
      </c>
      <c r="O52" s="57">
        <v>7.607E-3</v>
      </c>
      <c r="P52" s="57">
        <v>206</v>
      </c>
      <c r="Q52" s="57">
        <v>0.70632399999999995</v>
      </c>
      <c r="R52" s="57">
        <v>-1.273811</v>
      </c>
      <c r="S52" s="57">
        <v>0.32359599999999999</v>
      </c>
      <c r="T52" s="57">
        <v>0.22501499999999999</v>
      </c>
      <c r="U52" s="57">
        <v>5.4229999999999999E-3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x14ac:dyDescent="0.35">
      <c r="A53" s="1"/>
      <c r="B53" s="1"/>
      <c r="C53" s="1"/>
      <c r="D53" s="130"/>
      <c r="E53" s="98"/>
      <c r="F53" s="99"/>
      <c r="G53" s="92"/>
      <c r="H53" s="92"/>
      <c r="I53" s="92"/>
      <c r="J53" s="92"/>
      <c r="K53" s="75" t="s">
        <v>127</v>
      </c>
      <c r="L53" s="76"/>
      <c r="M53" s="58">
        <v>0.33500600000000003</v>
      </c>
      <c r="N53" s="58">
        <v>0.20058400000000001</v>
      </c>
      <c r="O53" s="58">
        <v>6.156E-3</v>
      </c>
      <c r="P53" s="58">
        <v>200</v>
      </c>
      <c r="Q53" s="58">
        <v>0.70463399999999998</v>
      </c>
      <c r="R53" s="58">
        <v>-1.231285</v>
      </c>
      <c r="S53" s="58">
        <v>0.34631400000000001</v>
      </c>
      <c r="T53" s="58">
        <v>0.24957299999999999</v>
      </c>
      <c r="U53" s="58">
        <v>1.729E-2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35">
      <c r="A54" s="1"/>
      <c r="B54" s="1"/>
      <c r="C54" s="1"/>
      <c r="D54" s="131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x14ac:dyDescent="0.35">
      <c r="A55" s="1"/>
      <c r="B55" s="1"/>
      <c r="C55" s="1"/>
      <c r="D55" s="128" t="s">
        <v>68</v>
      </c>
      <c r="E55" s="94" t="s">
        <v>59</v>
      </c>
      <c r="F55" s="95"/>
      <c r="G55" s="92" t="s">
        <v>125</v>
      </c>
      <c r="H55" s="92"/>
      <c r="I55" s="92"/>
      <c r="J55" s="92"/>
      <c r="K55" s="73" t="s">
        <v>131</v>
      </c>
      <c r="L55" s="73"/>
      <c r="M55" s="57">
        <v>0.27469300000000002</v>
      </c>
      <c r="N55" s="57">
        <v>0.14947299999999999</v>
      </c>
      <c r="O55" s="57">
        <v>3.8279999999999998E-3</v>
      </c>
      <c r="P55" s="57">
        <v>162</v>
      </c>
      <c r="Q55" s="57">
        <v>0.769208</v>
      </c>
      <c r="R55" s="57">
        <v>-1.1409050000000001</v>
      </c>
      <c r="S55" s="57">
        <v>0.33071800000000001</v>
      </c>
      <c r="T55" s="57">
        <v>0.104126</v>
      </c>
      <c r="U55" s="57">
        <v>2.4851999999999999E-2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x14ac:dyDescent="0.35">
      <c r="A56" s="1"/>
      <c r="B56" s="1"/>
      <c r="C56" s="1"/>
      <c r="D56" s="129"/>
      <c r="E56" s="96"/>
      <c r="F56" s="97"/>
      <c r="G56" s="92"/>
      <c r="H56" s="92"/>
      <c r="I56" s="92"/>
      <c r="J56" s="92"/>
      <c r="K56" s="75" t="s">
        <v>132</v>
      </c>
      <c r="L56" s="76"/>
      <c r="M56" s="58">
        <v>0.25517499999999999</v>
      </c>
      <c r="N56" s="58">
        <v>0.118432</v>
      </c>
      <c r="O56" s="58">
        <v>3.764E-3</v>
      </c>
      <c r="P56" s="58">
        <v>161</v>
      </c>
      <c r="Q56" s="58">
        <v>0.772675</v>
      </c>
      <c r="R56" s="58">
        <v>-1.111138</v>
      </c>
      <c r="S56" s="58">
        <v>0.31273699999999999</v>
      </c>
      <c r="T56" s="58">
        <v>9.8226999999999995E-2</v>
      </c>
      <c r="U56" s="58">
        <v>2.8007000000000001E-2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x14ac:dyDescent="0.35">
      <c r="A57" s="1"/>
      <c r="B57" s="1"/>
      <c r="C57" s="1"/>
      <c r="D57" s="129"/>
      <c r="E57" s="96"/>
      <c r="F57" s="97"/>
      <c r="G57" s="92"/>
      <c r="H57" s="92"/>
      <c r="I57" s="92"/>
      <c r="J57" s="92"/>
      <c r="K57" s="73" t="s">
        <v>133</v>
      </c>
      <c r="L57" s="73"/>
      <c r="M57" s="57">
        <v>0.23651700000000001</v>
      </c>
      <c r="N57" s="57">
        <v>0.10986799999999999</v>
      </c>
      <c r="O57" s="57">
        <v>3.8920000000000001E-3</v>
      </c>
      <c r="P57" s="57">
        <v>157</v>
      </c>
      <c r="Q57" s="57">
        <v>0.76610500000000004</v>
      </c>
      <c r="R57" s="57">
        <v>-1.1148359999999999</v>
      </c>
      <c r="S57" s="57">
        <v>0.28015099999999998</v>
      </c>
      <c r="T57" s="57">
        <v>8.6133000000000001E-2</v>
      </c>
      <c r="U57" s="57">
        <v>3.1309999999999998E-2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x14ac:dyDescent="0.35">
      <c r="A58" s="1"/>
      <c r="B58" s="1"/>
      <c r="C58" s="1"/>
      <c r="D58" s="129"/>
      <c r="E58" s="96"/>
      <c r="F58" s="97"/>
      <c r="G58" s="92"/>
      <c r="H58" s="92"/>
      <c r="I58" s="92"/>
      <c r="J58" s="92"/>
      <c r="K58" s="75" t="s">
        <v>67</v>
      </c>
      <c r="L58" s="76"/>
      <c r="M58" s="58">
        <v>0.23153499999999999</v>
      </c>
      <c r="N58" s="58">
        <v>0.23153499999999999</v>
      </c>
      <c r="O58" s="58">
        <v>6.8021999999999999E-2</v>
      </c>
      <c r="P58" s="58">
        <v>161</v>
      </c>
      <c r="Q58" s="58">
        <v>0.77162900000000001</v>
      </c>
      <c r="R58" s="58">
        <v>-1.1091230000000001</v>
      </c>
      <c r="S58" s="58">
        <v>0.24024100000000001</v>
      </c>
      <c r="T58" s="58">
        <v>6.8021999999999999E-2</v>
      </c>
      <c r="U58" s="58">
        <v>2.7838000000000002E-2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x14ac:dyDescent="0.35">
      <c r="A59" s="1"/>
      <c r="B59" s="1"/>
      <c r="C59" s="1"/>
      <c r="D59" s="129"/>
      <c r="E59" s="96"/>
      <c r="F59" s="97"/>
      <c r="G59" s="92" t="s">
        <v>135</v>
      </c>
      <c r="H59" s="92"/>
      <c r="I59" s="92"/>
      <c r="J59" s="92"/>
      <c r="K59" s="73" t="s">
        <v>131</v>
      </c>
      <c r="L59" s="73"/>
      <c r="M59" s="57">
        <v>0.38785900000000001</v>
      </c>
      <c r="N59" s="57">
        <v>0.25125900000000001</v>
      </c>
      <c r="O59" s="57">
        <v>1.3256E-2</v>
      </c>
      <c r="P59" s="57">
        <v>219</v>
      </c>
      <c r="Q59" s="57">
        <v>0.67433399999999999</v>
      </c>
      <c r="R59" s="57">
        <v>-1.2669729999999999</v>
      </c>
      <c r="S59" s="57">
        <v>0.344472</v>
      </c>
      <c r="T59" s="57">
        <v>0.175124</v>
      </c>
      <c r="U59" s="57">
        <v>3.4521000000000003E-2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x14ac:dyDescent="0.35">
      <c r="A60" s="1"/>
      <c r="B60" s="1"/>
      <c r="C60" s="1"/>
      <c r="D60" s="129"/>
      <c r="E60" s="96"/>
      <c r="F60" s="97"/>
      <c r="G60" s="92"/>
      <c r="H60" s="92"/>
      <c r="I60" s="92"/>
      <c r="J60" s="92"/>
      <c r="K60" s="75" t="s">
        <v>132</v>
      </c>
      <c r="L60" s="76"/>
      <c r="M60" s="58">
        <v>0.377446</v>
      </c>
      <c r="N60" s="58">
        <v>0.25084800000000002</v>
      </c>
      <c r="O60" s="58">
        <v>1.5406E-2</v>
      </c>
      <c r="P60" s="58">
        <v>200</v>
      </c>
      <c r="Q60" s="58">
        <v>0.67149199999999998</v>
      </c>
      <c r="R60" s="58">
        <v>-1.2258260000000001</v>
      </c>
      <c r="S60" s="58">
        <v>0.32439000000000001</v>
      </c>
      <c r="T60" s="58">
        <v>0.13636000000000001</v>
      </c>
      <c r="U60" s="58">
        <v>2.9947999999999999E-2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x14ac:dyDescent="0.35">
      <c r="A61" s="1"/>
      <c r="B61" s="1"/>
      <c r="C61" s="1"/>
      <c r="D61" s="129"/>
      <c r="E61" s="96"/>
      <c r="F61" s="97"/>
      <c r="G61" s="92"/>
      <c r="H61" s="92"/>
      <c r="I61" s="92"/>
      <c r="J61" s="92"/>
      <c r="K61" s="73" t="s">
        <v>133</v>
      </c>
      <c r="L61" s="73"/>
      <c r="M61" s="57">
        <v>0.36649900000000002</v>
      </c>
      <c r="N61" s="57">
        <v>0.22525600000000001</v>
      </c>
      <c r="O61" s="57">
        <v>1.0612999999999999E-2</v>
      </c>
      <c r="P61" s="57">
        <v>228</v>
      </c>
      <c r="Q61" s="57">
        <v>0.68013999999999997</v>
      </c>
      <c r="R61" s="57">
        <v>-1.270683</v>
      </c>
      <c r="S61" s="57">
        <v>0.32845000000000002</v>
      </c>
      <c r="T61" s="57">
        <v>0.14988699999999999</v>
      </c>
      <c r="U61" s="57">
        <v>2.9904E-2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x14ac:dyDescent="0.35">
      <c r="A62" s="1"/>
      <c r="B62" s="1"/>
      <c r="C62" s="1"/>
      <c r="D62" s="130"/>
      <c r="E62" s="98"/>
      <c r="F62" s="99"/>
      <c r="G62" s="92"/>
      <c r="H62" s="92"/>
      <c r="I62" s="92"/>
      <c r="J62" s="92"/>
      <c r="K62" s="75" t="s">
        <v>67</v>
      </c>
      <c r="L62" s="76"/>
      <c r="M62" s="58">
        <v>0.35997800000000002</v>
      </c>
      <c r="N62" s="58">
        <v>0.225301</v>
      </c>
      <c r="O62" s="58">
        <v>1.3946999999999999E-2</v>
      </c>
      <c r="P62" s="58">
        <v>206</v>
      </c>
      <c r="Q62" s="58">
        <v>0.66129300000000002</v>
      </c>
      <c r="R62" s="58">
        <v>-1.233994</v>
      </c>
      <c r="S62" s="58">
        <v>0.327488</v>
      </c>
      <c r="T62" s="58">
        <v>0.154975</v>
      </c>
      <c r="U62" s="58">
        <v>2.5108999999999999E-2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x14ac:dyDescent="0.35">
      <c r="A63" s="1"/>
      <c r="B63" s="1"/>
      <c r="C63" s="1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x14ac:dyDescent="0.35">
      <c r="A64" s="1"/>
      <c r="B64" s="1"/>
      <c r="C64" s="1"/>
      <c r="D64" s="105" t="s">
        <v>165</v>
      </c>
      <c r="E64" s="152" t="s">
        <v>143</v>
      </c>
      <c r="F64" s="152"/>
      <c r="G64" s="146" t="s">
        <v>148</v>
      </c>
      <c r="H64" s="147"/>
      <c r="I64" s="147"/>
      <c r="J64" s="148"/>
      <c r="K64" s="73" t="s">
        <v>144</v>
      </c>
      <c r="L64" s="73"/>
      <c r="M64" s="57">
        <v>0.58850000000000002</v>
      </c>
      <c r="N64" s="57">
        <v>0.4803</v>
      </c>
      <c r="O64" s="57">
        <v>0.23200000000000001</v>
      </c>
      <c r="P64" s="57"/>
      <c r="Q64" s="57"/>
      <c r="R64" s="57"/>
      <c r="S64" s="57"/>
      <c r="T64" s="57"/>
      <c r="U64" s="57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x14ac:dyDescent="0.35">
      <c r="A65" s="1"/>
      <c r="B65" s="1"/>
      <c r="C65" s="1"/>
      <c r="D65" s="105"/>
      <c r="E65" s="152"/>
      <c r="F65" s="152"/>
      <c r="G65" s="149"/>
      <c r="H65" s="150"/>
      <c r="I65" s="150"/>
      <c r="J65" s="151"/>
      <c r="K65" s="74" t="s">
        <v>145</v>
      </c>
      <c r="L65" s="74"/>
      <c r="M65" s="58">
        <v>0.59930000000000005</v>
      </c>
      <c r="N65" s="58">
        <v>0.40660000000000002</v>
      </c>
      <c r="O65" s="58">
        <v>0.2409</v>
      </c>
      <c r="P65" s="58"/>
      <c r="Q65" s="58"/>
      <c r="R65" s="58"/>
      <c r="S65" s="58"/>
      <c r="T65" s="58"/>
      <c r="U65" s="5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x14ac:dyDescent="0.35">
      <c r="A66" s="1"/>
      <c r="B66" s="1"/>
      <c r="C66" s="1"/>
      <c r="D66" s="105"/>
      <c r="E66" s="152"/>
      <c r="F66" s="152"/>
      <c r="G66" s="149"/>
      <c r="H66" s="150"/>
      <c r="I66" s="150"/>
      <c r="J66" s="151"/>
      <c r="K66" s="73" t="s">
        <v>146</v>
      </c>
      <c r="L66" s="73"/>
      <c r="M66" s="57">
        <v>0.62649999999999995</v>
      </c>
      <c r="N66" s="57">
        <v>0.4118</v>
      </c>
      <c r="O66" s="57">
        <v>0.35759999999999997</v>
      </c>
      <c r="P66" s="57"/>
      <c r="Q66" s="57"/>
      <c r="R66" s="57"/>
      <c r="S66" s="57"/>
      <c r="T66" s="57"/>
      <c r="U66" s="57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x14ac:dyDescent="0.35">
      <c r="A67" s="1"/>
      <c r="B67" s="1"/>
      <c r="C67" s="1"/>
      <c r="D67" s="105"/>
      <c r="E67" s="152"/>
      <c r="F67" s="152"/>
      <c r="G67" s="149"/>
      <c r="H67" s="150"/>
      <c r="I67" s="150"/>
      <c r="J67" s="151"/>
      <c r="K67" s="75" t="s">
        <v>147</v>
      </c>
      <c r="L67" s="76"/>
      <c r="M67" s="58">
        <v>0.53800000000000003</v>
      </c>
      <c r="N67" s="58">
        <v>0.43619999999999998</v>
      </c>
      <c r="O67" s="58">
        <v>0.16450000000000001</v>
      </c>
      <c r="P67" s="58"/>
      <c r="Q67" s="58"/>
      <c r="R67" s="58"/>
      <c r="S67" s="58"/>
      <c r="T67" s="58"/>
      <c r="U67" s="5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x14ac:dyDescent="0.35">
      <c r="A68" s="1"/>
      <c r="B68" s="1"/>
      <c r="C68" s="1"/>
      <c r="D68" s="105"/>
      <c r="E68" s="152"/>
      <c r="F68" s="152"/>
      <c r="G68" s="149"/>
      <c r="H68" s="150"/>
      <c r="I68" s="150"/>
      <c r="J68" s="151"/>
      <c r="K68" s="73" t="s">
        <v>149</v>
      </c>
      <c r="L68" s="73"/>
      <c r="M68" s="57">
        <v>0.3125</v>
      </c>
      <c r="N68" s="57">
        <v>0.30740000000000001</v>
      </c>
      <c r="O68" s="57">
        <v>4.2799999999999998E-2</v>
      </c>
      <c r="P68" s="57"/>
      <c r="Q68" s="57"/>
      <c r="R68" s="57"/>
      <c r="S68" s="57"/>
      <c r="T68" s="57"/>
      <c r="U68" s="57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x14ac:dyDescent="0.35">
      <c r="A69" s="1"/>
      <c r="B69" s="1"/>
      <c r="C69" s="1"/>
      <c r="D69" s="105"/>
      <c r="E69" s="152"/>
      <c r="F69" s="152"/>
      <c r="G69" s="149"/>
      <c r="H69" s="150"/>
      <c r="I69" s="150"/>
      <c r="J69" s="151"/>
      <c r="K69" s="75" t="s">
        <v>150</v>
      </c>
      <c r="L69" s="76"/>
      <c r="M69" s="58">
        <v>0.53949999999999998</v>
      </c>
      <c r="N69" s="58">
        <v>0.46679999999999999</v>
      </c>
      <c r="O69" s="58">
        <v>0.19570000000000001</v>
      </c>
      <c r="P69" s="58"/>
      <c r="Q69" s="58"/>
      <c r="R69" s="58"/>
      <c r="S69" s="58"/>
      <c r="T69" s="58"/>
      <c r="U69" s="5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x14ac:dyDescent="0.35">
      <c r="A70" s="1"/>
      <c r="B70" s="1"/>
      <c r="C70" s="1"/>
      <c r="D70" s="105"/>
      <c r="E70" s="152"/>
      <c r="F70" s="152"/>
      <c r="G70" s="149"/>
      <c r="H70" s="150"/>
      <c r="I70" s="150"/>
      <c r="J70" s="151"/>
      <c r="K70" s="73" t="s">
        <v>151</v>
      </c>
      <c r="L70" s="73"/>
      <c r="M70" s="57">
        <v>0.54879999999999995</v>
      </c>
      <c r="N70" s="57">
        <v>0.44479999999999997</v>
      </c>
      <c r="O70" s="57">
        <v>0.18379999999999999</v>
      </c>
      <c r="P70" s="57"/>
      <c r="Q70" s="57"/>
      <c r="R70" s="57"/>
      <c r="S70" s="57"/>
      <c r="T70" s="57"/>
      <c r="U70" s="57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x14ac:dyDescent="0.35">
      <c r="A71" s="1"/>
      <c r="B71" s="1"/>
      <c r="C71" s="1"/>
      <c r="D71" s="105"/>
      <c r="E71" s="152"/>
      <c r="F71" s="152"/>
      <c r="G71" s="146" t="s">
        <v>152</v>
      </c>
      <c r="H71" s="147"/>
      <c r="I71" s="147"/>
      <c r="J71" s="148"/>
      <c r="K71" s="75" t="s">
        <v>153</v>
      </c>
      <c r="L71" s="76"/>
      <c r="M71" s="58">
        <v>0.28310000000000002</v>
      </c>
      <c r="N71" s="58">
        <v>0.1963</v>
      </c>
      <c r="O71" s="58">
        <v>6.7000000000000002E-3</v>
      </c>
      <c r="P71" s="58"/>
      <c r="Q71" s="58"/>
      <c r="R71" s="58"/>
      <c r="S71" s="58"/>
      <c r="T71" s="58"/>
      <c r="U71" s="5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x14ac:dyDescent="0.35">
      <c r="A72" s="1"/>
      <c r="B72" s="1"/>
      <c r="C72" s="1"/>
      <c r="D72" s="105"/>
      <c r="E72" s="152"/>
      <c r="F72" s="152"/>
      <c r="G72" s="149"/>
      <c r="H72" s="150"/>
      <c r="I72" s="150"/>
      <c r="J72" s="151"/>
      <c r="K72" s="73" t="s">
        <v>154</v>
      </c>
      <c r="L72" s="73"/>
      <c r="M72" s="57">
        <v>0.27900000000000003</v>
      </c>
      <c r="N72" s="57">
        <v>0.22209999999999999</v>
      </c>
      <c r="O72" s="57">
        <v>9.2999999999999992E-3</v>
      </c>
      <c r="P72" s="57"/>
      <c r="Q72" s="57"/>
      <c r="R72" s="57"/>
      <c r="S72" s="57"/>
      <c r="T72" s="57"/>
      <c r="U72" s="57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35">
      <c r="A73" s="1"/>
      <c r="B73" s="1"/>
      <c r="C73" s="1"/>
      <c r="D73" s="105"/>
      <c r="E73" s="152"/>
      <c r="F73" s="152"/>
      <c r="G73" s="149"/>
      <c r="H73" s="150"/>
      <c r="I73" s="150"/>
      <c r="J73" s="151"/>
      <c r="K73" s="74" t="s">
        <v>155</v>
      </c>
      <c r="L73" s="74"/>
      <c r="M73" s="58">
        <v>0.30009999999999998</v>
      </c>
      <c r="N73" s="58">
        <v>0.2137</v>
      </c>
      <c r="O73" s="58">
        <v>9.1000000000000004E-3</v>
      </c>
      <c r="P73" s="58"/>
      <c r="Q73" s="58"/>
      <c r="R73" s="58"/>
      <c r="S73" s="58"/>
      <c r="T73" s="58"/>
      <c r="U73" s="5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x14ac:dyDescent="0.35">
      <c r="A74" s="1"/>
      <c r="B74" s="1"/>
      <c r="C74" s="1"/>
      <c r="D74" s="105"/>
      <c r="E74" s="152"/>
      <c r="F74" s="152"/>
      <c r="G74" s="146" t="s">
        <v>118</v>
      </c>
      <c r="H74" s="147"/>
      <c r="I74" s="147"/>
      <c r="J74" s="148"/>
      <c r="K74" s="73" t="s">
        <v>147</v>
      </c>
      <c r="L74" s="73"/>
      <c r="M74" s="57">
        <v>0.46839999999999998</v>
      </c>
      <c r="N74" s="57">
        <v>0.36120000000000002</v>
      </c>
      <c r="O74" s="57">
        <v>2.29E-2</v>
      </c>
      <c r="P74" s="57"/>
      <c r="Q74" s="57"/>
      <c r="R74" s="57"/>
      <c r="S74" s="57"/>
      <c r="T74" s="57"/>
      <c r="U74" s="57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x14ac:dyDescent="0.35">
      <c r="A75" s="1"/>
      <c r="B75" s="1"/>
      <c r="C75" s="1"/>
      <c r="D75" s="105"/>
      <c r="E75" s="152"/>
      <c r="F75" s="152"/>
      <c r="G75" s="149"/>
      <c r="H75" s="150"/>
      <c r="I75" s="150"/>
      <c r="J75" s="151"/>
      <c r="K75" s="75" t="s">
        <v>156</v>
      </c>
      <c r="L75" s="76"/>
      <c r="M75" s="58">
        <v>0.51449999999999996</v>
      </c>
      <c r="N75" s="58">
        <v>0.43669999999999998</v>
      </c>
      <c r="O75" s="58">
        <v>3.27E-2</v>
      </c>
      <c r="P75" s="58"/>
      <c r="Q75" s="58"/>
      <c r="R75" s="58"/>
      <c r="S75" s="58"/>
      <c r="T75" s="58"/>
      <c r="U75" s="5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x14ac:dyDescent="0.35">
      <c r="A76" s="1"/>
      <c r="B76" s="1"/>
      <c r="C76" s="1"/>
      <c r="D76" s="105"/>
      <c r="E76" s="152"/>
      <c r="F76" s="152"/>
      <c r="G76" s="149"/>
      <c r="H76" s="150"/>
      <c r="I76" s="150"/>
      <c r="J76" s="151"/>
      <c r="K76" s="73" t="s">
        <v>157</v>
      </c>
      <c r="L76" s="73"/>
      <c r="M76" s="57">
        <v>0.47699999999999998</v>
      </c>
      <c r="N76" s="57">
        <v>0.39529999999999998</v>
      </c>
      <c r="O76" s="57">
        <v>2.4400000000000002E-2</v>
      </c>
      <c r="P76" s="57"/>
      <c r="Q76" s="57"/>
      <c r="R76" s="57"/>
      <c r="S76" s="57"/>
      <c r="T76" s="57"/>
      <c r="U76" s="57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x14ac:dyDescent="0.35">
      <c r="A77" s="1"/>
      <c r="B77" s="1"/>
      <c r="C77" s="1"/>
      <c r="D77" s="105"/>
      <c r="E77" s="152"/>
      <c r="F77" s="152"/>
      <c r="G77" s="146" t="s">
        <v>158</v>
      </c>
      <c r="H77" s="147"/>
      <c r="I77" s="147"/>
      <c r="J77" s="148"/>
      <c r="K77" s="75" t="s">
        <v>147</v>
      </c>
      <c r="L77" s="76"/>
      <c r="M77" s="58">
        <v>0.28549999999999998</v>
      </c>
      <c r="N77" s="58">
        <v>0.1835</v>
      </c>
      <c r="O77" s="58">
        <v>7.3000000000000001E-3</v>
      </c>
      <c r="P77" s="58"/>
      <c r="Q77" s="58"/>
      <c r="R77" s="58"/>
      <c r="S77" s="58"/>
      <c r="T77" s="58"/>
      <c r="U77" s="5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5">
      <c r="A78" s="1"/>
      <c r="B78" s="1"/>
      <c r="C78" s="1"/>
      <c r="D78" s="105"/>
      <c r="E78" s="152"/>
      <c r="F78" s="152"/>
      <c r="G78" s="149"/>
      <c r="H78" s="150"/>
      <c r="I78" s="150"/>
      <c r="J78" s="151"/>
      <c r="K78" s="73" t="s">
        <v>159</v>
      </c>
      <c r="L78" s="73"/>
      <c r="M78" s="57">
        <v>0.442</v>
      </c>
      <c r="N78" s="57">
        <v>0.32950000000000002</v>
      </c>
      <c r="O78" s="57">
        <v>1.89E-2</v>
      </c>
      <c r="P78" s="57"/>
      <c r="Q78" s="57"/>
      <c r="R78" s="57"/>
      <c r="S78" s="57"/>
      <c r="T78" s="57"/>
      <c r="U78" s="57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x14ac:dyDescent="0.35">
      <c r="A79" s="1"/>
      <c r="B79" s="1"/>
      <c r="C79" s="1"/>
      <c r="D79" s="105"/>
      <c r="E79" s="152"/>
      <c r="F79" s="152"/>
      <c r="G79" s="149"/>
      <c r="H79" s="150"/>
      <c r="I79" s="150"/>
      <c r="J79" s="151"/>
      <c r="K79" s="75" t="s">
        <v>160</v>
      </c>
      <c r="L79" s="76"/>
      <c r="M79" s="58">
        <v>0.2974</v>
      </c>
      <c r="N79" s="58">
        <v>0.18579999999999999</v>
      </c>
      <c r="O79" s="58">
        <v>7.1000000000000004E-3</v>
      </c>
      <c r="P79" s="58"/>
      <c r="Q79" s="58"/>
      <c r="R79" s="58"/>
      <c r="S79" s="58"/>
      <c r="T79" s="58"/>
      <c r="U79" s="5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x14ac:dyDescent="0.35">
      <c r="A80" s="1"/>
      <c r="B80" s="1"/>
      <c r="C80" s="1"/>
      <c r="D80" s="105"/>
      <c r="E80" s="152"/>
      <c r="F80" s="152"/>
      <c r="G80" s="92" t="s">
        <v>161</v>
      </c>
      <c r="H80" s="92"/>
      <c r="I80" s="92"/>
      <c r="J80" s="92"/>
      <c r="K80" s="73" t="s">
        <v>147</v>
      </c>
      <c r="L80" s="73"/>
      <c r="M80" s="57">
        <v>0.37359999999999999</v>
      </c>
      <c r="N80" s="57">
        <v>0.26440000000000002</v>
      </c>
      <c r="O80" s="57">
        <v>1.3100000000000001E-2</v>
      </c>
      <c r="P80" s="57"/>
      <c r="Q80" s="57"/>
      <c r="R80" s="57"/>
      <c r="S80" s="57"/>
      <c r="T80" s="57"/>
      <c r="U80" s="57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x14ac:dyDescent="0.35">
      <c r="A81" s="1"/>
      <c r="B81" s="1"/>
      <c r="C81" s="1"/>
      <c r="D81" s="105"/>
      <c r="E81" s="152"/>
      <c r="F81" s="152"/>
      <c r="G81" s="92"/>
      <c r="H81" s="92"/>
      <c r="I81" s="92"/>
      <c r="J81" s="92"/>
      <c r="K81" s="75" t="s">
        <v>162</v>
      </c>
      <c r="L81" s="76"/>
      <c r="M81" s="58">
        <v>0.40150000000000002</v>
      </c>
      <c r="N81" s="58">
        <v>0.29239999999999999</v>
      </c>
      <c r="O81" s="58">
        <v>1.49E-2</v>
      </c>
      <c r="P81" s="58"/>
      <c r="Q81" s="58"/>
      <c r="R81" s="58"/>
      <c r="S81" s="58"/>
      <c r="T81" s="58"/>
      <c r="U81" s="5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x14ac:dyDescent="0.35">
      <c r="A82" s="1"/>
      <c r="B82" s="1"/>
      <c r="C82" s="1"/>
      <c r="D82" s="105"/>
      <c r="E82" s="152"/>
      <c r="F82" s="152"/>
      <c r="G82" s="92"/>
      <c r="H82" s="92"/>
      <c r="I82" s="92"/>
      <c r="J82" s="92"/>
      <c r="K82" s="103" t="s">
        <v>163</v>
      </c>
      <c r="L82" s="104"/>
      <c r="M82" s="57">
        <v>0.39850000000000002</v>
      </c>
      <c r="N82" s="57">
        <v>0.23269999999999999</v>
      </c>
      <c r="O82" s="57">
        <v>1.0200000000000001E-2</v>
      </c>
      <c r="P82" s="57"/>
      <c r="Q82" s="57"/>
      <c r="R82" s="57"/>
      <c r="S82" s="57"/>
      <c r="T82" s="57"/>
      <c r="U82" s="57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x14ac:dyDescent="0.35">
      <c r="A83" s="1"/>
      <c r="B83" s="1"/>
      <c r="C83" s="1"/>
      <c r="D83" s="105"/>
      <c r="E83" s="152"/>
      <c r="F83" s="152"/>
      <c r="G83" s="92"/>
      <c r="H83" s="92"/>
      <c r="I83" s="92"/>
      <c r="J83" s="92"/>
      <c r="K83" s="75" t="s">
        <v>164</v>
      </c>
      <c r="L83" s="76"/>
      <c r="M83" s="58">
        <v>0.3664</v>
      </c>
      <c r="N83" s="58">
        <v>0.26550000000000001</v>
      </c>
      <c r="O83" s="58">
        <v>1.18E-2</v>
      </c>
      <c r="P83" s="58"/>
      <c r="Q83" s="58"/>
      <c r="R83" s="58"/>
      <c r="S83" s="58"/>
      <c r="T83" s="58"/>
      <c r="U83" s="5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x14ac:dyDescent="0.35">
      <c r="A84" s="1"/>
      <c r="B84" s="1"/>
      <c r="C84" s="1"/>
      <c r="D84" s="8"/>
      <c r="E84" s="60"/>
      <c r="F84" s="60"/>
      <c r="G84" s="60"/>
      <c r="H84" s="60"/>
      <c r="I84" s="60"/>
      <c r="J84" s="60"/>
      <c r="K84" s="101"/>
      <c r="L84" s="101"/>
      <c r="M84" s="61"/>
      <c r="N84" s="61"/>
      <c r="O84" s="61"/>
      <c r="P84" s="61"/>
      <c r="Q84" s="61"/>
      <c r="R84" s="61"/>
      <c r="S84" s="61"/>
      <c r="T84" s="61"/>
      <c r="U84" s="61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x14ac:dyDescent="0.35">
      <c r="A85" s="1"/>
      <c r="B85" s="1"/>
      <c r="C85" s="1"/>
      <c r="D85" s="8"/>
      <c r="E85" s="60"/>
      <c r="F85" s="60"/>
      <c r="G85" s="100"/>
      <c r="H85" s="100"/>
      <c r="I85" s="100"/>
      <c r="J85" s="100"/>
      <c r="K85" s="101"/>
      <c r="L85" s="101"/>
      <c r="M85" s="61"/>
      <c r="N85" s="61"/>
      <c r="O85" s="61"/>
      <c r="P85" s="61"/>
      <c r="Q85" s="61"/>
      <c r="R85" s="61"/>
      <c r="S85" s="61"/>
      <c r="T85" s="61"/>
      <c r="U85" s="61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x14ac:dyDescent="0.35">
      <c r="A86" s="1"/>
      <c r="B86" s="1"/>
      <c r="C86" s="1"/>
      <c r="D86" s="8"/>
      <c r="E86" s="60"/>
      <c r="F86" s="60"/>
      <c r="G86" s="100"/>
      <c r="H86" s="100"/>
      <c r="I86" s="100"/>
      <c r="J86" s="100"/>
      <c r="K86" s="101"/>
      <c r="L86" s="101"/>
      <c r="M86" s="61"/>
      <c r="N86" s="61"/>
      <c r="O86" s="61"/>
      <c r="P86" s="61"/>
      <c r="Q86" s="61"/>
      <c r="R86" s="61"/>
      <c r="S86" s="61"/>
      <c r="T86" s="61"/>
      <c r="U86" s="61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x14ac:dyDescent="0.35">
      <c r="C87" s="1"/>
      <c r="D87" s="8"/>
      <c r="E87" s="60"/>
      <c r="F87" s="60"/>
      <c r="G87" s="100"/>
      <c r="H87" s="100"/>
      <c r="I87" s="100"/>
      <c r="J87" s="100"/>
      <c r="K87" s="101"/>
      <c r="L87" s="101"/>
      <c r="M87" s="61"/>
      <c r="N87" s="61"/>
      <c r="O87" s="61"/>
      <c r="P87" s="61"/>
      <c r="Q87" s="61"/>
      <c r="R87" s="61"/>
      <c r="S87" s="61"/>
      <c r="T87" s="61"/>
      <c r="U87" s="61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x14ac:dyDescent="0.35">
      <c r="C88" s="1"/>
      <c r="D88" s="8"/>
      <c r="E88" s="60"/>
      <c r="F88" s="60"/>
      <c r="G88" s="100"/>
      <c r="H88" s="100"/>
      <c r="I88" s="100"/>
      <c r="J88" s="100"/>
      <c r="K88" s="101"/>
      <c r="L88" s="101"/>
      <c r="M88" s="61"/>
      <c r="N88" s="61"/>
      <c r="O88" s="61"/>
      <c r="P88" s="61"/>
      <c r="Q88" s="61"/>
      <c r="R88" s="61"/>
      <c r="S88" s="61"/>
      <c r="T88" s="61"/>
      <c r="U88" s="61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x14ac:dyDescent="0.35">
      <c r="C89" s="1"/>
      <c r="D89" s="8"/>
      <c r="E89" s="60"/>
      <c r="F89" s="60"/>
      <c r="G89" s="100"/>
      <c r="H89" s="100"/>
      <c r="I89" s="100"/>
      <c r="J89" s="100"/>
      <c r="K89" s="101"/>
      <c r="L89" s="101"/>
      <c r="M89" s="61"/>
      <c r="N89" s="61"/>
      <c r="O89" s="61"/>
      <c r="P89" s="61"/>
      <c r="Q89" s="61"/>
      <c r="R89" s="61"/>
      <c r="S89" s="61"/>
      <c r="T89" s="61"/>
      <c r="U89" s="6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x14ac:dyDescent="0.35">
      <c r="C90" s="1"/>
      <c r="D90" s="8"/>
      <c r="E90" s="60"/>
      <c r="F90" s="60"/>
      <c r="G90" s="100"/>
      <c r="H90" s="100"/>
      <c r="I90" s="100"/>
      <c r="J90" s="100"/>
      <c r="K90" s="101"/>
      <c r="L90" s="101"/>
      <c r="M90" s="61"/>
      <c r="N90" s="61"/>
      <c r="O90" s="61"/>
      <c r="P90" s="61"/>
      <c r="Q90" s="61"/>
      <c r="R90" s="61"/>
      <c r="S90" s="61"/>
      <c r="T90" s="61"/>
      <c r="U90" s="61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x14ac:dyDescent="0.35">
      <c r="C91" s="1"/>
      <c r="D91" s="8"/>
      <c r="E91" s="60"/>
      <c r="F91" s="60"/>
      <c r="G91" s="100"/>
      <c r="H91" s="100"/>
      <c r="I91" s="100"/>
      <c r="J91" s="100"/>
      <c r="K91" s="101"/>
      <c r="L91" s="101"/>
      <c r="M91" s="61"/>
      <c r="N91" s="61"/>
      <c r="O91" s="61"/>
      <c r="P91" s="61"/>
      <c r="Q91" s="61"/>
      <c r="R91" s="61"/>
      <c r="S91" s="61"/>
      <c r="T91" s="61"/>
      <c r="U91" s="61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x14ac:dyDescent="0.35">
      <c r="C92" s="1"/>
      <c r="D92" s="8"/>
      <c r="E92" s="60"/>
      <c r="F92" s="60"/>
      <c r="G92" s="100"/>
      <c r="H92" s="100"/>
      <c r="I92" s="100"/>
      <c r="J92" s="100"/>
      <c r="K92" s="101"/>
      <c r="L92" s="101"/>
      <c r="M92" s="61"/>
      <c r="N92" s="61"/>
      <c r="O92" s="61"/>
      <c r="P92" s="61"/>
      <c r="Q92" s="61"/>
      <c r="R92" s="61"/>
      <c r="S92" s="61"/>
      <c r="T92" s="61"/>
      <c r="U92" s="61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x14ac:dyDescent="0.35">
      <c r="C93" s="1"/>
      <c r="D93" s="8"/>
      <c r="E93" s="8"/>
      <c r="F93" s="8"/>
      <c r="G93" s="8"/>
      <c r="H93" s="8"/>
      <c r="I93" s="8"/>
      <c r="J93" s="8"/>
      <c r="K93" s="9"/>
      <c r="L93" s="9"/>
      <c r="M93" s="9"/>
      <c r="N93" s="9"/>
      <c r="O93" s="9"/>
      <c r="P93" s="9"/>
      <c r="Q93" s="9"/>
      <c r="R93" s="9"/>
      <c r="S93" s="9"/>
      <c r="T93" s="9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x14ac:dyDescent="0.35">
      <c r="C94" s="1"/>
      <c r="D94" s="8"/>
      <c r="E94" s="8"/>
      <c r="F94" s="8"/>
      <c r="G94" s="8"/>
      <c r="H94" s="8"/>
      <c r="I94" s="8"/>
      <c r="J94" s="8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x14ac:dyDescent="0.35">
      <c r="C95" s="1"/>
      <c r="D95" s="8"/>
      <c r="E95" s="8"/>
      <c r="F95" s="8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x14ac:dyDescent="0.35"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3:33" x14ac:dyDescent="0.35"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3:33" x14ac:dyDescent="0.35"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3:33" x14ac:dyDescent="0.35"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3:33" x14ac:dyDescent="0.35"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3:33" x14ac:dyDescent="0.35"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3:33" x14ac:dyDescent="0.35"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3:33" x14ac:dyDescent="0.3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3:33" x14ac:dyDescent="0.3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3:33" x14ac:dyDescent="0.3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3:33" x14ac:dyDescent="0.3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3:33" x14ac:dyDescent="0.3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3:33" x14ac:dyDescent="0.35">
      <c r="C108" s="1"/>
      <c r="D108" s="1"/>
      <c r="E108" s="1"/>
      <c r="F108" s="1"/>
      <c r="G108" s="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3:33" x14ac:dyDescent="0.35">
      <c r="C109" s="1"/>
      <c r="D109" s="1"/>
      <c r="E109" s="1"/>
      <c r="F109" s="1"/>
      <c r="G109" s="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3:33" x14ac:dyDescent="0.35"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3:33" x14ac:dyDescent="0.35"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3:33" x14ac:dyDescent="0.35">
      <c r="H112" s="5"/>
      <c r="I112" s="6"/>
      <c r="J112" s="6"/>
      <c r="K112" s="6"/>
      <c r="L112" s="6"/>
      <c r="M112" s="6"/>
      <c r="N112" s="6"/>
      <c r="O112" s="7"/>
      <c r="P112" s="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8:29" x14ac:dyDescent="0.35">
      <c r="H113" s="5"/>
      <c r="I113" s="6"/>
      <c r="J113" s="6"/>
      <c r="K113" s="6"/>
      <c r="L113" s="6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5"/>
      <c r="Z113" s="5"/>
      <c r="AA113" s="5"/>
      <c r="AB113" s="5"/>
      <c r="AC113" s="5"/>
    </row>
    <row r="114" spans="8:29" x14ac:dyDescent="0.35">
      <c r="H114" s="5"/>
      <c r="I114" s="6"/>
      <c r="J114" s="6"/>
      <c r="K114" s="6"/>
      <c r="L114" s="6"/>
      <c r="M114" s="6"/>
      <c r="N114" s="6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8:29" x14ac:dyDescent="0.35">
      <c r="H115" s="5"/>
      <c r="I115" s="6"/>
      <c r="J115" s="6"/>
      <c r="K115" s="6"/>
      <c r="L115" s="6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5"/>
      <c r="Z115" s="5"/>
      <c r="AA115" s="5"/>
      <c r="AB115" s="5"/>
      <c r="AC115" s="5"/>
    </row>
    <row r="116" spans="8:29" x14ac:dyDescent="0.35">
      <c r="H116" s="5"/>
      <c r="I116" s="6"/>
      <c r="J116" s="6"/>
      <c r="K116" s="6"/>
      <c r="L116" s="6"/>
      <c r="M116" s="6"/>
      <c r="N116" s="6"/>
      <c r="O116" s="7"/>
      <c r="P116" s="7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8:29" x14ac:dyDescent="0.35">
      <c r="H117" s="5"/>
      <c r="I117" s="6"/>
      <c r="J117" s="6"/>
      <c r="K117" s="6"/>
      <c r="L117" s="6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5"/>
      <c r="Z117" s="5"/>
      <c r="AA117" s="5"/>
      <c r="AB117" s="5"/>
      <c r="AC117" s="5"/>
    </row>
    <row r="118" spans="8:29" x14ac:dyDescent="0.35">
      <c r="H118" s="5"/>
      <c r="I118" s="6"/>
      <c r="J118" s="6"/>
      <c r="K118" s="6"/>
      <c r="L118" s="6"/>
      <c r="M118" s="6"/>
      <c r="N118" s="6"/>
      <c r="O118" s="7"/>
      <c r="P118" s="7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8:29" x14ac:dyDescent="0.35">
      <c r="H119" s="5"/>
      <c r="I119" s="6"/>
      <c r="J119" s="6"/>
      <c r="K119" s="6"/>
      <c r="L119" s="6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5"/>
      <c r="Z119" s="5"/>
      <c r="AA119" s="5"/>
      <c r="AB119" s="5"/>
      <c r="AC119" s="5"/>
    </row>
    <row r="120" spans="8:29" x14ac:dyDescent="0.35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8:29" x14ac:dyDescent="0.35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8:29" x14ac:dyDescent="0.35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8:29" x14ac:dyDescent="0.35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8:29" x14ac:dyDescent="0.35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8:29" x14ac:dyDescent="0.35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8:29" x14ac:dyDescent="0.35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8:29" x14ac:dyDescent="0.35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8:29" x14ac:dyDescent="0.35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42" spans="9:16" x14ac:dyDescent="0.35">
      <c r="K142" t="s">
        <v>59</v>
      </c>
      <c r="L142" t="s">
        <v>57</v>
      </c>
      <c r="M142" t="s">
        <v>27</v>
      </c>
      <c r="N142" s="38" t="s">
        <v>33</v>
      </c>
      <c r="O142" s="38" t="s">
        <v>138</v>
      </c>
      <c r="P142" s="38" t="s">
        <v>25</v>
      </c>
    </row>
    <row r="143" spans="9:16" x14ac:dyDescent="0.35">
      <c r="I143" s="111" t="s">
        <v>75</v>
      </c>
      <c r="J143" s="112"/>
      <c r="K143" s="58">
        <v>0.23153499999999999</v>
      </c>
      <c r="L143" s="58">
        <v>0.308002</v>
      </c>
      <c r="M143" s="58">
        <v>0.319878</v>
      </c>
      <c r="N143" s="63">
        <v>0.30309999999999998</v>
      </c>
      <c r="O143" s="58">
        <v>0.33520499999999998</v>
      </c>
      <c r="P143" s="37">
        <v>0.45004100000000002</v>
      </c>
    </row>
    <row r="144" spans="9:16" x14ac:dyDescent="0.35">
      <c r="I144" s="110" t="s">
        <v>74</v>
      </c>
      <c r="J144" s="110"/>
      <c r="K144" s="58">
        <v>0.25517499999999999</v>
      </c>
      <c r="L144" s="64">
        <v>0.3246</v>
      </c>
      <c r="M144" s="57">
        <v>0.33243299999999998</v>
      </c>
      <c r="N144" s="62">
        <v>0.34960000000000002</v>
      </c>
      <c r="O144" s="64">
        <v>0.35170000000000001</v>
      </c>
      <c r="P144" s="62">
        <v>0.47170000000000001</v>
      </c>
    </row>
    <row r="145" spans="9:16" x14ac:dyDescent="0.35">
      <c r="I145" s="109" t="s">
        <v>73</v>
      </c>
      <c r="J145" s="109"/>
      <c r="K145" s="57">
        <v>0.27469300000000002</v>
      </c>
      <c r="L145" s="64">
        <v>0.35220000000000001</v>
      </c>
      <c r="M145" s="57">
        <v>0.35934300000000002</v>
      </c>
      <c r="N145" s="37">
        <v>0.35585299999999997</v>
      </c>
      <c r="O145" s="64">
        <v>0.36859999999999998</v>
      </c>
      <c r="P145" s="65">
        <v>0.48380000000000001</v>
      </c>
    </row>
    <row r="156" spans="9:16" x14ac:dyDescent="0.35">
      <c r="K156" t="s">
        <v>59</v>
      </c>
      <c r="L156" t="s">
        <v>57</v>
      </c>
      <c r="M156" t="s">
        <v>27</v>
      </c>
      <c r="N156" s="38" t="s">
        <v>33</v>
      </c>
      <c r="O156" s="38" t="s">
        <v>138</v>
      </c>
      <c r="P156" s="38" t="s">
        <v>25</v>
      </c>
    </row>
    <row r="157" spans="9:16" x14ac:dyDescent="0.35">
      <c r="I157" s="111" t="s">
        <v>140</v>
      </c>
      <c r="J157" s="112"/>
      <c r="K157" s="57">
        <v>0.33071800000000001</v>
      </c>
      <c r="L157" s="57">
        <v>0.29643199999999997</v>
      </c>
      <c r="M157" s="57">
        <v>0.31278800000000001</v>
      </c>
      <c r="N157" s="37">
        <v>0.31188500000000002</v>
      </c>
      <c r="O157" s="57">
        <v>0.31406000000000001</v>
      </c>
      <c r="P157" s="39">
        <v>0.38943699999999998</v>
      </c>
    </row>
    <row r="158" spans="9:16" x14ac:dyDescent="0.35">
      <c r="I158" s="109" t="s">
        <v>139</v>
      </c>
      <c r="J158" s="109"/>
      <c r="K158" s="57">
        <v>0.27469300000000002</v>
      </c>
      <c r="L158" s="64">
        <v>0.35220000000000001</v>
      </c>
      <c r="M158" s="57">
        <v>0.35934300000000002</v>
      </c>
      <c r="N158" s="37">
        <v>0.35585299999999997</v>
      </c>
      <c r="O158" s="64">
        <v>0.36859999999999998</v>
      </c>
      <c r="P158" s="65">
        <v>0.48380000000000001</v>
      </c>
    </row>
    <row r="159" spans="9:16" x14ac:dyDescent="0.35">
      <c r="I159" s="109"/>
      <c r="J159" s="109"/>
      <c r="K159" s="57"/>
      <c r="L159" s="64"/>
      <c r="M159" s="57"/>
      <c r="N159" s="37"/>
      <c r="O159" s="64"/>
      <c r="P159" s="65"/>
    </row>
    <row r="184" spans="10:17" x14ac:dyDescent="0.35">
      <c r="L184" t="s">
        <v>59</v>
      </c>
      <c r="M184" t="s">
        <v>57</v>
      </c>
      <c r="N184" t="s">
        <v>27</v>
      </c>
      <c r="O184" s="38" t="s">
        <v>33</v>
      </c>
      <c r="P184" s="38" t="s">
        <v>138</v>
      </c>
      <c r="Q184" s="38" t="s">
        <v>25</v>
      </c>
    </row>
    <row r="185" spans="10:17" x14ac:dyDescent="0.35">
      <c r="J185" s="111" t="s">
        <v>141</v>
      </c>
      <c r="K185" s="112"/>
      <c r="L185" s="57">
        <v>0.38785900000000001</v>
      </c>
      <c r="M185" s="64">
        <v>0.35049999999999998</v>
      </c>
      <c r="N185" s="64">
        <v>0.38729999999999998</v>
      </c>
      <c r="O185" s="36">
        <v>0.37587799999999999</v>
      </c>
      <c r="P185" s="57">
        <v>0.347912</v>
      </c>
      <c r="Q185" s="66">
        <v>0.44319999999999998</v>
      </c>
    </row>
    <row r="186" spans="10:17" x14ac:dyDescent="0.35">
      <c r="J186" s="109" t="s">
        <v>142</v>
      </c>
      <c r="K186" s="109"/>
      <c r="L186" s="57">
        <v>0.27469300000000002</v>
      </c>
      <c r="M186" s="64">
        <v>0.35220000000000001</v>
      </c>
      <c r="N186" s="57">
        <v>0.35934300000000002</v>
      </c>
      <c r="O186" s="37">
        <v>0.35585299999999997</v>
      </c>
      <c r="P186" s="64">
        <v>0.36859999999999998</v>
      </c>
      <c r="Q186" s="65">
        <v>0.48380000000000001</v>
      </c>
    </row>
    <row r="187" spans="10:17" x14ac:dyDescent="0.35">
      <c r="J187" s="109"/>
      <c r="K187" s="109"/>
      <c r="L187" s="57"/>
      <c r="M187" s="64"/>
      <c r="N187" s="57"/>
      <c r="O187" s="37"/>
      <c r="P187" s="64"/>
      <c r="Q187" s="65"/>
    </row>
    <row r="205" spans="11:18" x14ac:dyDescent="0.35">
      <c r="M205" t="s">
        <v>59</v>
      </c>
      <c r="N205" t="s">
        <v>57</v>
      </c>
      <c r="O205" t="s">
        <v>27</v>
      </c>
      <c r="P205" s="38" t="s">
        <v>33</v>
      </c>
      <c r="Q205" s="38" t="s">
        <v>138</v>
      </c>
      <c r="R205" s="38" t="s">
        <v>25</v>
      </c>
    </row>
    <row r="206" spans="11:18" x14ac:dyDescent="0.35">
      <c r="K206" s="111" t="s">
        <v>140</v>
      </c>
      <c r="L206" s="112"/>
      <c r="M206" s="57">
        <v>0.344472</v>
      </c>
      <c r="N206" s="57">
        <v>0.26419799999999999</v>
      </c>
      <c r="O206" s="57">
        <v>0.34655599999999998</v>
      </c>
      <c r="P206" s="37">
        <v>0.28177099999999999</v>
      </c>
      <c r="Q206" s="57">
        <v>0.318712</v>
      </c>
      <c r="R206" s="37">
        <v>0.36468299999999998</v>
      </c>
    </row>
    <row r="207" spans="11:18" x14ac:dyDescent="0.35">
      <c r="K207" s="109" t="s">
        <v>139</v>
      </c>
      <c r="L207" s="109"/>
      <c r="M207" s="57">
        <v>0.38785900000000001</v>
      </c>
      <c r="N207" s="64">
        <v>0.35049999999999998</v>
      </c>
      <c r="O207" s="64">
        <v>0.38729999999999998</v>
      </c>
      <c r="P207" s="36">
        <v>0.37587799999999999</v>
      </c>
      <c r="Q207" s="57">
        <v>0.347912</v>
      </c>
      <c r="R207" s="66">
        <v>0.44319999999999998</v>
      </c>
    </row>
    <row r="222" spans="9:19" x14ac:dyDescent="0.35">
      <c r="J222" s="38" t="s">
        <v>168</v>
      </c>
      <c r="K222" t="s">
        <v>166</v>
      </c>
      <c r="L222" t="s">
        <v>172</v>
      </c>
      <c r="M222" s="38" t="s">
        <v>167</v>
      </c>
      <c r="N222" t="s">
        <v>171</v>
      </c>
      <c r="O222" t="s">
        <v>169</v>
      </c>
      <c r="P222" s="38" t="s">
        <v>174</v>
      </c>
      <c r="Q222" s="68" t="s">
        <v>173</v>
      </c>
      <c r="R222" s="67" t="s">
        <v>170</v>
      </c>
    </row>
    <row r="223" spans="9:19" x14ac:dyDescent="0.35">
      <c r="I223" t="s">
        <v>19</v>
      </c>
      <c r="J223" s="57">
        <v>0.3125</v>
      </c>
      <c r="K223" s="57">
        <v>0.39850000000000002</v>
      </c>
      <c r="L223" s="65">
        <v>0.48380000000000001</v>
      </c>
      <c r="M223" s="58">
        <v>0.53800000000000003</v>
      </c>
      <c r="N223" s="58">
        <v>0.53949999999999998</v>
      </c>
      <c r="O223" s="57">
        <v>0.54879999999999995</v>
      </c>
      <c r="P223" s="57">
        <v>0.58850000000000002</v>
      </c>
      <c r="Q223" s="58">
        <v>0.59930000000000005</v>
      </c>
      <c r="R223" s="57">
        <v>0.62649999999999995</v>
      </c>
      <c r="S223" s="58">
        <v>0.59930000000000005</v>
      </c>
    </row>
    <row r="224" spans="9:19" x14ac:dyDescent="0.35">
      <c r="K224" s="38"/>
      <c r="L224" s="38"/>
      <c r="M224" s="57"/>
      <c r="N224" s="64"/>
      <c r="O224" s="64"/>
      <c r="P224" s="36"/>
      <c r="Q224" s="57"/>
      <c r="R224" s="66"/>
    </row>
    <row r="231" spans="16:18" x14ac:dyDescent="0.35">
      <c r="P231" s="73" t="s">
        <v>144</v>
      </c>
      <c r="Q231" s="73"/>
      <c r="R231" s="57">
        <v>0.58850000000000002</v>
      </c>
    </row>
    <row r="232" spans="16:18" x14ac:dyDescent="0.35">
      <c r="P232" s="74" t="s">
        <v>145</v>
      </c>
      <c r="Q232" s="74"/>
      <c r="R232" s="58">
        <v>0.59930000000000005</v>
      </c>
    </row>
    <row r="233" spans="16:18" x14ac:dyDescent="0.35">
      <c r="P233" s="73" t="s">
        <v>146</v>
      </c>
      <c r="Q233" s="73"/>
      <c r="R233" s="57">
        <v>0.62649999999999995</v>
      </c>
    </row>
    <row r="234" spans="16:18" x14ac:dyDescent="0.35">
      <c r="P234" s="75" t="s">
        <v>147</v>
      </c>
      <c r="Q234" s="76"/>
      <c r="R234" s="58">
        <v>0.53800000000000003</v>
      </c>
    </row>
    <row r="235" spans="16:18" x14ac:dyDescent="0.35">
      <c r="P235" s="73" t="s">
        <v>149</v>
      </c>
      <c r="Q235" s="73"/>
      <c r="R235" s="57">
        <v>0.3125</v>
      </c>
    </row>
    <row r="236" spans="16:18" x14ac:dyDescent="0.35">
      <c r="P236" s="75" t="s">
        <v>150</v>
      </c>
      <c r="Q236" s="76"/>
      <c r="R236" s="58">
        <v>0.53949999999999998</v>
      </c>
    </row>
    <row r="237" spans="16:18" x14ac:dyDescent="0.35">
      <c r="P237" s="73" t="s">
        <v>151</v>
      </c>
      <c r="Q237" s="73"/>
      <c r="R237" s="57">
        <v>0.54879999999999995</v>
      </c>
    </row>
    <row r="249" spans="15:17" x14ac:dyDescent="0.35">
      <c r="O249" t="s">
        <v>143</v>
      </c>
      <c r="P249" t="s">
        <v>25</v>
      </c>
      <c r="Q249" t="s">
        <v>143</v>
      </c>
    </row>
    <row r="250" spans="15:17" x14ac:dyDescent="0.35">
      <c r="O250" s="57">
        <v>0.58850000000000002</v>
      </c>
      <c r="P250" s="65">
        <v>0.48380000000000001</v>
      </c>
      <c r="Q250" s="57">
        <v>0.58850000000000002</v>
      </c>
    </row>
    <row r="280" spans="13:15" x14ac:dyDescent="0.35">
      <c r="N280" t="s">
        <v>175</v>
      </c>
      <c r="O280" t="s">
        <v>143</v>
      </c>
    </row>
    <row r="281" spans="13:15" x14ac:dyDescent="0.35">
      <c r="N281" s="57">
        <v>0.62649999999999995</v>
      </c>
      <c r="O281" s="57">
        <v>0.58850000000000002</v>
      </c>
    </row>
    <row r="284" spans="13:15" x14ac:dyDescent="0.35">
      <c r="M284" s="73" t="s">
        <v>144</v>
      </c>
      <c r="N284" s="73"/>
      <c r="O284" s="57">
        <v>0.58850000000000002</v>
      </c>
    </row>
    <row r="285" spans="13:15" x14ac:dyDescent="0.35">
      <c r="M285" s="74" t="s">
        <v>145</v>
      </c>
      <c r="N285" s="74"/>
      <c r="O285" s="58">
        <v>0.59930000000000005</v>
      </c>
    </row>
    <row r="286" spans="13:15" x14ac:dyDescent="0.35">
      <c r="M286" s="73" t="s">
        <v>146</v>
      </c>
      <c r="N286" s="73"/>
      <c r="O286" s="57">
        <v>0.62649999999999995</v>
      </c>
    </row>
    <row r="287" spans="13:15" x14ac:dyDescent="0.35">
      <c r="M287" s="75" t="s">
        <v>147</v>
      </c>
      <c r="N287" s="76"/>
      <c r="O287" s="58">
        <v>0.53800000000000003</v>
      </c>
    </row>
    <row r="288" spans="13:15" x14ac:dyDescent="0.35">
      <c r="M288" s="73" t="s">
        <v>149</v>
      </c>
      <c r="N288" s="73"/>
      <c r="O288" s="57">
        <v>0.3125</v>
      </c>
    </row>
    <row r="289" spans="13:15" x14ac:dyDescent="0.35">
      <c r="M289" s="75" t="s">
        <v>150</v>
      </c>
      <c r="N289" s="76"/>
      <c r="O289" s="58">
        <v>0.53949999999999998</v>
      </c>
    </row>
    <row r="290" spans="13:15" x14ac:dyDescent="0.35">
      <c r="M290" s="73" t="s">
        <v>151</v>
      </c>
      <c r="N290" s="73"/>
      <c r="O290" s="57">
        <v>0.54879999999999995</v>
      </c>
    </row>
    <row r="306" spans="7:16" x14ac:dyDescent="0.35">
      <c r="G306" s="38" t="s">
        <v>168</v>
      </c>
      <c r="H306" t="s">
        <v>166</v>
      </c>
      <c r="I306" t="s">
        <v>172</v>
      </c>
      <c r="J306" s="38" t="s">
        <v>167</v>
      </c>
      <c r="K306" t="s">
        <v>171</v>
      </c>
      <c r="L306" t="s">
        <v>169</v>
      </c>
      <c r="M306" s="38" t="s">
        <v>174</v>
      </c>
      <c r="N306" s="68" t="s">
        <v>173</v>
      </c>
      <c r="O306" s="67" t="s">
        <v>170</v>
      </c>
    </row>
    <row r="307" spans="7:16" x14ac:dyDescent="0.35">
      <c r="G307" s="57">
        <v>0.3125</v>
      </c>
      <c r="H307" s="57">
        <v>0.39850000000000002</v>
      </c>
      <c r="I307" s="65">
        <v>0.48380000000000001</v>
      </c>
      <c r="J307" s="58">
        <v>0.53800000000000003</v>
      </c>
      <c r="K307" s="58">
        <v>0.53949999999999998</v>
      </c>
      <c r="L307" s="57">
        <v>0.54879999999999995</v>
      </c>
      <c r="M307" s="57">
        <v>0.58850000000000002</v>
      </c>
      <c r="N307" s="58">
        <v>0.59930000000000005</v>
      </c>
      <c r="O307" s="57">
        <v>0.62649999999999995</v>
      </c>
      <c r="P307" s="58">
        <v>0.59930000000000005</v>
      </c>
    </row>
    <row r="311" spans="7:16" x14ac:dyDescent="0.35">
      <c r="G311" s="38" t="s">
        <v>168</v>
      </c>
      <c r="H311" s="38" t="s">
        <v>167</v>
      </c>
      <c r="I311" s="38" t="s">
        <v>143</v>
      </c>
    </row>
    <row r="312" spans="7:16" x14ac:dyDescent="0.35">
      <c r="G312" s="57">
        <v>0.3125</v>
      </c>
      <c r="H312" s="58">
        <v>0.53800000000000003</v>
      </c>
      <c r="I312" s="57">
        <v>0.58850000000000002</v>
      </c>
      <c r="M312" s="38" t="s">
        <v>143</v>
      </c>
      <c r="N312" s="67" t="s">
        <v>170</v>
      </c>
    </row>
    <row r="313" spans="7:16" x14ac:dyDescent="0.35">
      <c r="M313" s="57">
        <v>0.58850000000000002</v>
      </c>
      <c r="N313" s="57">
        <v>0.62649999999999995</v>
      </c>
    </row>
  </sheetData>
  <mergeCells count="163">
    <mergeCell ref="P231:Q231"/>
    <mergeCell ref="P232:Q232"/>
    <mergeCell ref="P233:Q233"/>
    <mergeCell ref="P234:Q234"/>
    <mergeCell ref="P235:Q235"/>
    <mergeCell ref="P236:Q236"/>
    <mergeCell ref="P237:Q237"/>
    <mergeCell ref="J185:K185"/>
    <mergeCell ref="J186:K186"/>
    <mergeCell ref="J187:K187"/>
    <mergeCell ref="K206:L206"/>
    <mergeCell ref="K207:L207"/>
    <mergeCell ref="G64:J70"/>
    <mergeCell ref="G71:J73"/>
    <mergeCell ref="G74:J76"/>
    <mergeCell ref="G77:J79"/>
    <mergeCell ref="G80:J83"/>
    <mergeCell ref="E64:F83"/>
    <mergeCell ref="D64:D83"/>
    <mergeCell ref="I143:J143"/>
    <mergeCell ref="I144:J144"/>
    <mergeCell ref="I145:J145"/>
    <mergeCell ref="I157:J157"/>
    <mergeCell ref="I158:J158"/>
    <mergeCell ref="I159:J159"/>
    <mergeCell ref="E5:F5"/>
    <mergeCell ref="G5:J5"/>
    <mergeCell ref="K5:L5"/>
    <mergeCell ref="M5:R5"/>
    <mergeCell ref="G55:J58"/>
    <mergeCell ref="G59:J62"/>
    <mergeCell ref="E55:F62"/>
    <mergeCell ref="D16:U16"/>
    <mergeCell ref="D8:D15"/>
    <mergeCell ref="S5:U5"/>
    <mergeCell ref="G12:J15"/>
    <mergeCell ref="K12:L12"/>
    <mergeCell ref="K13:L13"/>
    <mergeCell ref="K14:L14"/>
    <mergeCell ref="K15:L15"/>
    <mergeCell ref="K26:L26"/>
    <mergeCell ref="K28:L28"/>
    <mergeCell ref="K29:L29"/>
    <mergeCell ref="K41:L41"/>
    <mergeCell ref="K42:L42"/>
    <mergeCell ref="D28:D35"/>
    <mergeCell ref="D36:U36"/>
    <mergeCell ref="D27:U27"/>
    <mergeCell ref="D17:D26"/>
    <mergeCell ref="K17:L17"/>
    <mergeCell ref="K18:L18"/>
    <mergeCell ref="K19:L19"/>
    <mergeCell ref="K20:L20"/>
    <mergeCell ref="K21:L21"/>
    <mergeCell ref="K22:L22"/>
    <mergeCell ref="K23:L23"/>
    <mergeCell ref="K30:L30"/>
    <mergeCell ref="K31:L31"/>
    <mergeCell ref="K32:L32"/>
    <mergeCell ref="K33:L33"/>
    <mergeCell ref="K34:L34"/>
    <mergeCell ref="K35:L35"/>
    <mergeCell ref="K24:L24"/>
    <mergeCell ref="K25:L25"/>
    <mergeCell ref="D3:U4"/>
    <mergeCell ref="D2:U2"/>
    <mergeCell ref="O6:O7"/>
    <mergeCell ref="P6:P7"/>
    <mergeCell ref="Q6:Q7"/>
    <mergeCell ref="R6:R7"/>
    <mergeCell ref="G8:J11"/>
    <mergeCell ref="K8:L8"/>
    <mergeCell ref="K9:L9"/>
    <mergeCell ref="K10:L10"/>
    <mergeCell ref="D6:D7"/>
    <mergeCell ref="E6:F7"/>
    <mergeCell ref="G6:J7"/>
    <mergeCell ref="K6:L7"/>
    <mergeCell ref="M6:M7"/>
    <mergeCell ref="N6:N7"/>
    <mergeCell ref="K11:L11"/>
    <mergeCell ref="T6:T7"/>
    <mergeCell ref="U6:U7"/>
    <mergeCell ref="E8:F15"/>
    <mergeCell ref="K57:L57"/>
    <mergeCell ref="K58:L58"/>
    <mergeCell ref="D63:U63"/>
    <mergeCell ref="K43:L43"/>
    <mergeCell ref="K44:L44"/>
    <mergeCell ref="K46:L46"/>
    <mergeCell ref="K37:L37"/>
    <mergeCell ref="K38:L38"/>
    <mergeCell ref="K39:L39"/>
    <mergeCell ref="K40:L40"/>
    <mergeCell ref="K59:L59"/>
    <mergeCell ref="K60:L60"/>
    <mergeCell ref="D55:D62"/>
    <mergeCell ref="D54:U54"/>
    <mergeCell ref="D46:D53"/>
    <mergeCell ref="D37:D44"/>
    <mergeCell ref="D45:U45"/>
    <mergeCell ref="S6:S7"/>
    <mergeCell ref="G50:J53"/>
    <mergeCell ref="K83:L83"/>
    <mergeCell ref="K84:L84"/>
    <mergeCell ref="G85:J88"/>
    <mergeCell ref="K85:L85"/>
    <mergeCell ref="K86:L86"/>
    <mergeCell ref="K87:L87"/>
    <mergeCell ref="K88:L88"/>
    <mergeCell ref="K77:L77"/>
    <mergeCell ref="K78:L78"/>
    <mergeCell ref="K79:L79"/>
    <mergeCell ref="G37:J40"/>
    <mergeCell ref="G46:J49"/>
    <mergeCell ref="K65:L65"/>
    <mergeCell ref="K66:L66"/>
    <mergeCell ref="K67:L67"/>
    <mergeCell ref="K68:L68"/>
    <mergeCell ref="K69:L69"/>
    <mergeCell ref="K70:L70"/>
    <mergeCell ref="K80:L80"/>
    <mergeCell ref="K81:L81"/>
    <mergeCell ref="K82:L82"/>
    <mergeCell ref="K71:L71"/>
    <mergeCell ref="E17:F26"/>
    <mergeCell ref="K47:L47"/>
    <mergeCell ref="K48:L48"/>
    <mergeCell ref="K49:L49"/>
    <mergeCell ref="K50:L50"/>
    <mergeCell ref="K51:L51"/>
    <mergeCell ref="K52:L52"/>
    <mergeCell ref="G41:J44"/>
    <mergeCell ref="G28:J31"/>
    <mergeCell ref="G32:J35"/>
    <mergeCell ref="E28:F35"/>
    <mergeCell ref="E37:F44"/>
    <mergeCell ref="E46:F53"/>
    <mergeCell ref="K53:L53"/>
    <mergeCell ref="M284:N284"/>
    <mergeCell ref="M285:N285"/>
    <mergeCell ref="M286:N286"/>
    <mergeCell ref="M287:N287"/>
    <mergeCell ref="M288:N288"/>
    <mergeCell ref="M289:N289"/>
    <mergeCell ref="M290:N290"/>
    <mergeCell ref="G17:J21"/>
    <mergeCell ref="G22:J26"/>
    <mergeCell ref="G89:J92"/>
    <mergeCell ref="K89:L89"/>
    <mergeCell ref="K90:L90"/>
    <mergeCell ref="K91:L91"/>
    <mergeCell ref="K92:L92"/>
    <mergeCell ref="K72:L72"/>
    <mergeCell ref="K73:L73"/>
    <mergeCell ref="K74:L74"/>
    <mergeCell ref="K75:L75"/>
    <mergeCell ref="K76:L76"/>
    <mergeCell ref="K61:L61"/>
    <mergeCell ref="K62:L62"/>
    <mergeCell ref="K64:L64"/>
    <mergeCell ref="K55:L55"/>
    <mergeCell ref="K56:L5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"/>
  <sheetViews>
    <sheetView tabSelected="1" topLeftCell="G1" zoomScale="130" zoomScaleNormal="130" workbookViewId="0">
      <selection activeCell="E38" sqref="E38:F41"/>
    </sheetView>
  </sheetViews>
  <sheetFormatPr defaultRowHeight="14.5" x14ac:dyDescent="0.35"/>
  <cols>
    <col min="2" max="2" width="6.1796875" customWidth="1"/>
    <col min="3" max="3" width="9.1796875" hidden="1" customWidth="1"/>
    <col min="4" max="4" width="9.1796875" customWidth="1"/>
    <col min="5" max="5" width="11.453125" customWidth="1"/>
    <col min="6" max="6" width="27" customWidth="1"/>
    <col min="10" max="10" width="12.81640625" customWidth="1"/>
    <col min="11" max="11" width="15.453125" customWidth="1"/>
    <col min="13" max="13" width="20" customWidth="1"/>
    <col min="14" max="14" width="18.26953125" customWidth="1"/>
    <col min="15" max="15" width="14.26953125" customWidth="1"/>
    <col min="16" max="16" width="15" customWidth="1"/>
    <col min="17" max="17" width="19.90625" customWidth="1"/>
    <col min="18" max="18" width="17" customWidth="1"/>
  </cols>
  <sheetData>
    <row r="1" spans="1: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1"/>
      <c r="T1" s="2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39.75" customHeight="1" x14ac:dyDescent="0.55000000000000004">
      <c r="A2" s="1"/>
      <c r="B2" s="1"/>
      <c r="C2" s="1"/>
      <c r="D2" s="107" t="s">
        <v>8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22"/>
      <c r="T2" s="22"/>
      <c r="U2" s="1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" customHeight="1" x14ac:dyDescent="0.35">
      <c r="A3" s="1"/>
      <c r="B3" s="1"/>
      <c r="C3" s="1"/>
      <c r="D3" s="106" t="s">
        <v>9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23"/>
      <c r="T3" s="23"/>
      <c r="U3" s="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49.5" customHeight="1" x14ac:dyDescent="0.35">
      <c r="A4" s="1"/>
      <c r="B4" s="1"/>
      <c r="C4" s="1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24"/>
      <c r="T4" s="24"/>
      <c r="U4" s="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35">
      <c r="A5" s="1"/>
      <c r="B5" s="1"/>
      <c r="C5" s="1"/>
      <c r="D5" s="19" t="s">
        <v>0</v>
      </c>
      <c r="E5" s="139" t="s">
        <v>32</v>
      </c>
      <c r="F5" s="139"/>
      <c r="G5" s="140" t="s">
        <v>2</v>
      </c>
      <c r="H5" s="141"/>
      <c r="I5" s="141"/>
      <c r="J5" s="142"/>
      <c r="K5" s="143" t="s">
        <v>15</v>
      </c>
      <c r="L5" s="144"/>
      <c r="M5" s="140" t="s">
        <v>3</v>
      </c>
      <c r="N5" s="141"/>
      <c r="O5" s="141"/>
      <c r="P5" s="141"/>
      <c r="Q5" s="141"/>
      <c r="R5" s="141"/>
      <c r="S5" s="25"/>
      <c r="T5" s="25"/>
      <c r="U5" s="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5">
      <c r="A6" s="1"/>
      <c r="B6" s="1"/>
      <c r="C6" s="1"/>
      <c r="D6" s="113"/>
      <c r="E6" s="113"/>
      <c r="F6" s="113"/>
      <c r="G6" s="114"/>
      <c r="H6" s="115"/>
      <c r="I6" s="115"/>
      <c r="J6" s="116"/>
      <c r="K6" s="108"/>
      <c r="L6" s="108"/>
      <c r="M6" s="102" t="s">
        <v>19</v>
      </c>
      <c r="N6" s="102" t="s">
        <v>20</v>
      </c>
      <c r="O6" s="102" t="s">
        <v>21</v>
      </c>
      <c r="P6" s="102" t="s">
        <v>35</v>
      </c>
      <c r="Q6" s="102" t="s">
        <v>36</v>
      </c>
      <c r="R6" s="102" t="s">
        <v>37</v>
      </c>
      <c r="S6" s="8"/>
      <c r="T6" s="8"/>
      <c r="U6" s="1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35">
      <c r="A7" s="1"/>
      <c r="B7" s="1"/>
      <c r="C7" s="1"/>
      <c r="D7" s="113"/>
      <c r="E7" s="113"/>
      <c r="F7" s="113"/>
      <c r="G7" s="117"/>
      <c r="H7" s="118"/>
      <c r="I7" s="118"/>
      <c r="J7" s="119"/>
      <c r="K7" s="108"/>
      <c r="L7" s="108"/>
      <c r="M7" s="102"/>
      <c r="N7" s="102"/>
      <c r="O7" s="102"/>
      <c r="P7" s="102"/>
      <c r="Q7" s="102"/>
      <c r="R7" s="102"/>
      <c r="S7" s="8"/>
      <c r="T7" s="8"/>
      <c r="U7" s="1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35">
      <c r="A8" s="1"/>
      <c r="B8" s="1"/>
      <c r="C8" s="1"/>
      <c r="D8" s="128" t="s">
        <v>10</v>
      </c>
      <c r="E8" s="122" t="s">
        <v>33</v>
      </c>
      <c r="F8" s="123"/>
      <c r="G8" s="108" t="s">
        <v>29</v>
      </c>
      <c r="H8" s="108"/>
      <c r="I8" s="108"/>
      <c r="J8" s="108"/>
      <c r="K8" s="109" t="s">
        <v>30</v>
      </c>
      <c r="L8" s="109"/>
      <c r="M8" s="27">
        <v>0.17646800000000001</v>
      </c>
      <c r="N8" s="27">
        <v>8.8158E-2</v>
      </c>
      <c r="O8" s="27">
        <v>3.908E-3</v>
      </c>
      <c r="P8" s="27">
        <v>120</v>
      </c>
      <c r="Q8" s="27">
        <v>0.82015000000000005</v>
      </c>
      <c r="R8" s="27">
        <v>-0.99522600000000006</v>
      </c>
      <c r="S8" s="26"/>
      <c r="T8" s="26"/>
      <c r="U8" s="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35">
      <c r="A9" s="1"/>
      <c r="B9" s="1"/>
      <c r="C9" s="1"/>
      <c r="D9" s="129"/>
      <c r="E9" s="124"/>
      <c r="F9" s="125"/>
      <c r="G9" s="108"/>
      <c r="H9" s="108"/>
      <c r="I9" s="108"/>
      <c r="J9" s="108"/>
      <c r="K9" s="110" t="s">
        <v>39</v>
      </c>
      <c r="L9" s="110"/>
      <c r="M9" s="28">
        <v>0.198321</v>
      </c>
      <c r="N9" s="28">
        <v>0.103009</v>
      </c>
      <c r="O9" s="28">
        <v>4.64E-3</v>
      </c>
      <c r="P9" s="28">
        <v>132</v>
      </c>
      <c r="Q9" s="28">
        <v>0.81217499999999998</v>
      </c>
      <c r="R9" s="28">
        <v>-1.0301290000000001</v>
      </c>
      <c r="S9" s="26"/>
      <c r="T9" s="26"/>
      <c r="U9" s="1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35">
      <c r="A10" s="1"/>
      <c r="B10" s="1"/>
      <c r="C10" s="1"/>
      <c r="D10" s="129"/>
      <c r="E10" s="124"/>
      <c r="F10" s="125"/>
      <c r="G10" s="108"/>
      <c r="H10" s="108"/>
      <c r="I10" s="108"/>
      <c r="J10" s="108"/>
      <c r="K10" s="111" t="s">
        <v>31</v>
      </c>
      <c r="L10" s="112"/>
      <c r="M10" s="27">
        <v>0.22781699999999999</v>
      </c>
      <c r="N10" s="27">
        <v>0.12594900000000001</v>
      </c>
      <c r="O10" s="27">
        <v>5.8710000000000004E-3</v>
      </c>
      <c r="P10" s="27">
        <v>143</v>
      </c>
      <c r="Q10" s="27">
        <v>0.79949400000000004</v>
      </c>
      <c r="R10" s="27">
        <v>-1.047005</v>
      </c>
      <c r="S10" s="26"/>
      <c r="T10" s="26"/>
      <c r="U10" s="1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x14ac:dyDescent="0.35">
      <c r="A11" s="1"/>
      <c r="B11" s="1"/>
      <c r="C11" s="1"/>
      <c r="D11" s="129"/>
      <c r="E11" s="124"/>
      <c r="F11" s="125"/>
      <c r="G11" s="108"/>
      <c r="H11" s="108"/>
      <c r="I11" s="108"/>
      <c r="J11" s="108"/>
      <c r="K11" s="120" t="s">
        <v>40</v>
      </c>
      <c r="L11" s="121"/>
      <c r="M11" s="33">
        <v>0.27335300000000001</v>
      </c>
      <c r="N11" s="33">
        <v>0.18811900000000001</v>
      </c>
      <c r="O11" s="33">
        <v>1.042E-2</v>
      </c>
      <c r="P11" s="34">
        <v>129</v>
      </c>
      <c r="Q11" s="33">
        <v>0.82015000000000005</v>
      </c>
      <c r="R11" s="35">
        <v>-0.99522600000000006</v>
      </c>
      <c r="S11" s="26"/>
      <c r="T11" s="26"/>
      <c r="U11" s="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x14ac:dyDescent="0.35">
      <c r="A12" s="1"/>
      <c r="B12" s="1"/>
      <c r="C12" s="1"/>
      <c r="D12" s="129"/>
      <c r="E12" s="124"/>
      <c r="F12" s="125"/>
      <c r="G12" s="108" t="s">
        <v>34</v>
      </c>
      <c r="H12" s="108"/>
      <c r="I12" s="108"/>
      <c r="J12" s="108"/>
      <c r="K12" s="109" t="s">
        <v>30</v>
      </c>
      <c r="L12" s="109"/>
      <c r="M12" s="27">
        <v>0.36766300000000002</v>
      </c>
      <c r="N12" s="27">
        <v>0.23278199999999999</v>
      </c>
      <c r="O12" s="27">
        <v>7.7479999999999997E-3</v>
      </c>
      <c r="P12" s="27">
        <v>234</v>
      </c>
      <c r="Q12" s="36">
        <v>0.69771899999999998</v>
      </c>
      <c r="R12" s="27">
        <v>-1.252877</v>
      </c>
      <c r="S12" s="26"/>
      <c r="T12" s="26"/>
      <c r="U12" s="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x14ac:dyDescent="0.35">
      <c r="A13" s="1"/>
      <c r="B13" s="1"/>
      <c r="C13" s="1"/>
      <c r="D13" s="129"/>
      <c r="E13" s="124"/>
      <c r="F13" s="125"/>
      <c r="G13" s="108"/>
      <c r="H13" s="108"/>
      <c r="I13" s="108"/>
      <c r="J13" s="108"/>
      <c r="K13" s="110" t="s">
        <v>50</v>
      </c>
      <c r="L13" s="110"/>
      <c r="M13" s="28">
        <v>0.384135</v>
      </c>
      <c r="N13" s="28">
        <v>0.251332</v>
      </c>
      <c r="O13" s="28">
        <v>9.7149999999999997E-3</v>
      </c>
      <c r="P13" s="28">
        <v>240</v>
      </c>
      <c r="Q13" s="28">
        <v>0.68436200000000003</v>
      </c>
      <c r="R13" s="28">
        <v>-1.2432160000000001</v>
      </c>
      <c r="S13" s="26"/>
      <c r="T13" s="26"/>
      <c r="U13" s="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35">
      <c r="A14" s="1"/>
      <c r="B14" s="1"/>
      <c r="C14" s="1"/>
      <c r="D14" s="129"/>
      <c r="E14" s="124"/>
      <c r="F14" s="125"/>
      <c r="G14" s="108"/>
      <c r="H14" s="108"/>
      <c r="I14" s="108"/>
      <c r="J14" s="108"/>
      <c r="K14" s="111" t="s">
        <v>49</v>
      </c>
      <c r="L14" s="112"/>
      <c r="M14" s="36">
        <v>0.395204</v>
      </c>
      <c r="N14" s="36">
        <v>0.26750200000000002</v>
      </c>
      <c r="O14" s="27">
        <v>1.1925E-2</v>
      </c>
      <c r="P14" s="27">
        <v>243</v>
      </c>
      <c r="Q14" s="27">
        <v>0.66151899999999997</v>
      </c>
      <c r="R14" s="37">
        <v>-1.2228699999999999</v>
      </c>
      <c r="S14" s="26"/>
      <c r="T14" s="26"/>
      <c r="U14" s="1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x14ac:dyDescent="0.35">
      <c r="A15" s="1"/>
      <c r="B15" s="1"/>
      <c r="C15" s="1"/>
      <c r="D15" s="129"/>
      <c r="E15" s="124"/>
      <c r="F15" s="125"/>
      <c r="G15" s="108"/>
      <c r="H15" s="108"/>
      <c r="I15" s="108"/>
      <c r="J15" s="108"/>
      <c r="K15" s="120" t="s">
        <v>51</v>
      </c>
      <c r="L15" s="121"/>
      <c r="M15" s="29">
        <v>0.26800800000000002</v>
      </c>
      <c r="N15" s="29">
        <v>0.20849500000000001</v>
      </c>
      <c r="O15" s="33">
        <v>3.8585000000000001E-2</v>
      </c>
      <c r="P15" s="29">
        <v>87</v>
      </c>
      <c r="Q15" s="29">
        <v>0.60754699999999995</v>
      </c>
      <c r="R15" s="35">
        <v>-0.819658</v>
      </c>
      <c r="S15" s="26"/>
      <c r="T15" s="26"/>
      <c r="U15" s="1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35">
      <c r="A16" s="1"/>
      <c r="B16" s="1"/>
      <c r="C16" s="1"/>
      <c r="D16" s="129"/>
      <c r="E16" s="124"/>
      <c r="F16" s="125"/>
      <c r="G16" s="108" t="s">
        <v>48</v>
      </c>
      <c r="H16" s="108"/>
      <c r="I16" s="108"/>
      <c r="J16" s="108"/>
      <c r="K16" s="109" t="s">
        <v>30</v>
      </c>
      <c r="L16" s="109"/>
      <c r="M16" s="36">
        <v>0.37257699999999999</v>
      </c>
      <c r="N16" s="36">
        <v>0.27288800000000002</v>
      </c>
      <c r="O16" s="27">
        <v>2.0863E-2</v>
      </c>
      <c r="P16" s="27">
        <v>175</v>
      </c>
      <c r="Q16" s="27">
        <v>0.63727199999999995</v>
      </c>
      <c r="R16" s="27">
        <v>-1.077423</v>
      </c>
      <c r="S16" s="26"/>
      <c r="T16" s="26"/>
      <c r="U16" s="1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35">
      <c r="A17" s="1"/>
      <c r="B17" s="1"/>
      <c r="C17" s="1"/>
      <c r="D17" s="129"/>
      <c r="E17" s="124"/>
      <c r="F17" s="125"/>
      <c r="G17" s="108"/>
      <c r="H17" s="108"/>
      <c r="I17" s="108"/>
      <c r="J17" s="108"/>
      <c r="K17" s="110" t="s">
        <v>50</v>
      </c>
      <c r="L17" s="110"/>
      <c r="M17" s="28">
        <v>0.36648700000000001</v>
      </c>
      <c r="N17" s="28">
        <v>0.27279900000000001</v>
      </c>
      <c r="O17" s="28">
        <v>2.4830000000000001E-2</v>
      </c>
      <c r="P17" s="28">
        <v>157</v>
      </c>
      <c r="Q17" s="35">
        <v>0.63990100000000005</v>
      </c>
      <c r="R17" s="28">
        <v>-1.0377799999999999</v>
      </c>
      <c r="S17" s="26"/>
      <c r="T17" s="26"/>
      <c r="U17" s="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35">
      <c r="A18" s="1"/>
      <c r="B18" s="1"/>
      <c r="C18" s="1"/>
      <c r="D18" s="129"/>
      <c r="E18" s="124"/>
      <c r="F18" s="125"/>
      <c r="G18" s="108"/>
      <c r="H18" s="108"/>
      <c r="I18" s="108"/>
      <c r="J18" s="108"/>
      <c r="K18" s="111" t="s">
        <v>49</v>
      </c>
      <c r="L18" s="112"/>
      <c r="M18" s="27">
        <v>0.34265699999999999</v>
      </c>
      <c r="N18" s="27">
        <v>0.26591500000000001</v>
      </c>
      <c r="O18" s="36">
        <v>3.286E-2</v>
      </c>
      <c r="P18" s="27">
        <v>120</v>
      </c>
      <c r="Q18" s="27">
        <v>0.62792999999999999</v>
      </c>
      <c r="R18" s="27">
        <v>-0.97109000000000001</v>
      </c>
      <c r="S18" s="26"/>
      <c r="T18" s="26"/>
      <c r="U18" s="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x14ac:dyDescent="0.35">
      <c r="A19" s="1"/>
      <c r="B19" s="1"/>
      <c r="C19" s="1"/>
      <c r="D19" s="130"/>
      <c r="E19" s="124"/>
      <c r="F19" s="125"/>
      <c r="G19" s="160"/>
      <c r="H19" s="160"/>
      <c r="I19" s="160"/>
      <c r="J19" s="160"/>
      <c r="K19" s="174" t="s">
        <v>51</v>
      </c>
      <c r="L19" s="175"/>
      <c r="M19" s="29">
        <v>0.15982299999999999</v>
      </c>
      <c r="N19" s="29">
        <v>0.13306499999999999</v>
      </c>
      <c r="O19" s="29">
        <v>2.7389E-2</v>
      </c>
      <c r="P19" s="29">
        <v>21</v>
      </c>
      <c r="Q19" s="29">
        <v>0.60990999999999995</v>
      </c>
      <c r="R19" s="33">
        <v>-0.44588800000000001</v>
      </c>
      <c r="S19" s="26"/>
      <c r="T19" s="26"/>
      <c r="U19" s="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x14ac:dyDescent="0.35">
      <c r="A20" s="1"/>
      <c r="B20" s="1"/>
      <c r="C20" s="1"/>
      <c r="D20" s="173" t="s">
        <v>47</v>
      </c>
      <c r="E20" s="131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3"/>
      <c r="S20" s="26"/>
      <c r="T20" s="26"/>
      <c r="U20" s="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35">
      <c r="A21" s="1"/>
      <c r="B21" s="1"/>
      <c r="C21" s="1"/>
      <c r="D21" s="129"/>
      <c r="E21" s="124" t="s">
        <v>25</v>
      </c>
      <c r="F21" s="125"/>
      <c r="G21" s="165" t="s">
        <v>38</v>
      </c>
      <c r="H21" s="166"/>
      <c r="I21" s="166"/>
      <c r="J21" s="167"/>
      <c r="K21" s="176" t="s">
        <v>41</v>
      </c>
      <c r="L21" s="177"/>
      <c r="M21" s="178">
        <v>0.50558999999999998</v>
      </c>
      <c r="N21" s="178">
        <v>0.415769</v>
      </c>
      <c r="O21" s="178">
        <v>2.9503000000000001E-2</v>
      </c>
      <c r="P21" s="178">
        <v>185</v>
      </c>
      <c r="Q21" s="178">
        <v>0.694245</v>
      </c>
      <c r="R21" s="178">
        <v>-1.2224219999999999</v>
      </c>
      <c r="S21" s="26"/>
      <c r="T21" s="26"/>
      <c r="U21" s="1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x14ac:dyDescent="0.35">
      <c r="A22" s="1"/>
      <c r="B22" s="1"/>
      <c r="C22" s="1"/>
      <c r="D22" s="129"/>
      <c r="E22" s="124"/>
      <c r="F22" s="125"/>
      <c r="G22" s="165"/>
      <c r="H22" s="166"/>
      <c r="I22" s="166"/>
      <c r="J22" s="167"/>
      <c r="K22" s="71" t="s">
        <v>42</v>
      </c>
      <c r="L22" s="72"/>
      <c r="M22" s="28">
        <v>0.506629</v>
      </c>
      <c r="N22" s="28">
        <v>0.41648299999999999</v>
      </c>
      <c r="O22" s="28">
        <v>2.9729999999999999E-2</v>
      </c>
      <c r="P22" s="28">
        <v>187</v>
      </c>
      <c r="Q22" s="28">
        <v>0.693747</v>
      </c>
      <c r="R22" s="28">
        <v>-1.228872</v>
      </c>
      <c r="S22" s="26"/>
      <c r="T22" s="26"/>
      <c r="U22" s="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35">
      <c r="A23" s="1"/>
      <c r="B23" s="1"/>
      <c r="C23" s="1"/>
      <c r="D23" s="129"/>
      <c r="E23" s="124"/>
      <c r="F23" s="125"/>
      <c r="G23" s="165"/>
      <c r="H23" s="166"/>
      <c r="I23" s="166"/>
      <c r="J23" s="167"/>
      <c r="K23" s="69" t="s">
        <v>43</v>
      </c>
      <c r="L23" s="70"/>
      <c r="M23" s="32">
        <v>0.50852399999999998</v>
      </c>
      <c r="N23" s="32">
        <v>0.41818699999999998</v>
      </c>
      <c r="O23" s="32">
        <v>3.0211999999999999E-2</v>
      </c>
      <c r="P23" s="32">
        <v>189</v>
      </c>
      <c r="Q23" s="32">
        <v>0.68921399999999999</v>
      </c>
      <c r="R23" s="32">
        <v>-1.2351099999999999</v>
      </c>
      <c r="S23" s="26"/>
      <c r="T23" s="26"/>
      <c r="U23" s="1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x14ac:dyDescent="0.35">
      <c r="A24" s="1"/>
      <c r="B24" s="1"/>
      <c r="C24" s="1"/>
      <c r="D24" s="129"/>
      <c r="E24" s="124"/>
      <c r="F24" s="125"/>
      <c r="G24" s="165"/>
      <c r="H24" s="166"/>
      <c r="I24" s="166"/>
      <c r="J24" s="167"/>
      <c r="K24" s="71" t="s">
        <v>44</v>
      </c>
      <c r="L24" s="72"/>
      <c r="M24" s="28">
        <v>0.50597300000000001</v>
      </c>
      <c r="N24" s="28">
        <v>0.42472799999999999</v>
      </c>
      <c r="O24" s="28">
        <v>3.4550999999999998E-2</v>
      </c>
      <c r="P24" s="31">
        <v>177</v>
      </c>
      <c r="Q24" s="31">
        <v>0.68540100000000004</v>
      </c>
      <c r="R24" s="31">
        <v>-1.2067749999999999</v>
      </c>
      <c r="S24" s="26"/>
      <c r="T24" s="26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x14ac:dyDescent="0.35">
      <c r="A25" s="1"/>
      <c r="B25" s="1"/>
      <c r="C25" s="1"/>
      <c r="D25" s="129"/>
      <c r="E25" s="124"/>
      <c r="F25" s="125"/>
      <c r="G25" s="165"/>
      <c r="H25" s="166"/>
      <c r="I25" s="166"/>
      <c r="J25" s="167"/>
      <c r="K25" s="69" t="s">
        <v>45</v>
      </c>
      <c r="L25" s="70"/>
      <c r="M25" s="27">
        <v>0.47901300000000002</v>
      </c>
      <c r="N25" s="27">
        <v>0.42165399999999997</v>
      </c>
      <c r="O25" s="27">
        <v>5.1840999999999998E-2</v>
      </c>
      <c r="P25" s="27">
        <v>112</v>
      </c>
      <c r="Q25" s="27">
        <v>0.66412099999999996</v>
      </c>
      <c r="R25" s="27">
        <v>-0.96019399999999999</v>
      </c>
      <c r="S25" s="26"/>
      <c r="T25" s="26"/>
      <c r="U25" s="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x14ac:dyDescent="0.35">
      <c r="A26" s="1"/>
      <c r="B26" s="1"/>
      <c r="C26" s="1"/>
      <c r="D26" s="130"/>
      <c r="E26" s="126"/>
      <c r="F26" s="127"/>
      <c r="G26" s="168"/>
      <c r="H26" s="169"/>
      <c r="I26" s="169"/>
      <c r="J26" s="170"/>
      <c r="K26" s="71" t="s">
        <v>46</v>
      </c>
      <c r="L26" s="72"/>
      <c r="M26" s="30">
        <v>5.7762000000000001E-2</v>
      </c>
      <c r="N26" s="30">
        <v>3.4737999999999998E-2</v>
      </c>
      <c r="O26" s="30">
        <v>2.4550000000000002E-3</v>
      </c>
      <c r="P26" s="30">
        <v>27</v>
      </c>
      <c r="Q26" s="30">
        <v>0.62182899999999997</v>
      </c>
      <c r="R26" s="30">
        <v>-0.45506000000000002</v>
      </c>
      <c r="S26" s="26"/>
      <c r="T26" s="26"/>
      <c r="U26" s="1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x14ac:dyDescent="0.35">
      <c r="A27" s="1"/>
      <c r="B27" s="1"/>
      <c r="C27" s="1"/>
      <c r="D27" s="128" t="s">
        <v>61</v>
      </c>
      <c r="E27" s="131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3"/>
      <c r="S27" s="26"/>
      <c r="T27" s="26"/>
      <c r="U27" s="1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x14ac:dyDescent="0.35">
      <c r="A28" s="1"/>
      <c r="B28" s="1"/>
      <c r="C28" s="1"/>
      <c r="D28" s="129"/>
      <c r="E28" s="122" t="s">
        <v>27</v>
      </c>
      <c r="F28" s="123"/>
      <c r="G28" s="108" t="s">
        <v>52</v>
      </c>
      <c r="H28" s="108"/>
      <c r="I28" s="108"/>
      <c r="J28" s="108"/>
      <c r="K28" s="110" t="s">
        <v>53</v>
      </c>
      <c r="L28" s="110"/>
      <c r="M28" s="28">
        <v>0.32127600000000001</v>
      </c>
      <c r="N28" s="28">
        <v>0.19722300000000001</v>
      </c>
      <c r="O28" s="28">
        <v>9.1269999999999997E-3</v>
      </c>
      <c r="P28" s="28">
        <v>202</v>
      </c>
      <c r="Q28" s="35">
        <v>0.77464100000000002</v>
      </c>
      <c r="R28" s="28">
        <v>-1.179343</v>
      </c>
      <c r="S28" s="26"/>
      <c r="T28" s="26"/>
      <c r="U28" s="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35">
      <c r="A29" s="1"/>
      <c r="B29" s="1"/>
      <c r="C29" s="1"/>
      <c r="D29" s="129"/>
      <c r="E29" s="124"/>
      <c r="F29" s="125"/>
      <c r="G29" s="108"/>
      <c r="H29" s="108"/>
      <c r="I29" s="108"/>
      <c r="J29" s="108"/>
      <c r="K29" s="111" t="s">
        <v>55</v>
      </c>
      <c r="L29" s="112"/>
      <c r="M29" s="27">
        <v>0.34637299999999999</v>
      </c>
      <c r="N29" s="27">
        <v>0.22225700000000001</v>
      </c>
      <c r="O29" s="27">
        <v>9.469E-3</v>
      </c>
      <c r="P29" s="27">
        <v>207</v>
      </c>
      <c r="Q29" s="27">
        <v>0.75600900000000004</v>
      </c>
      <c r="R29" s="27">
        <v>-1.216685</v>
      </c>
      <c r="S29" s="26"/>
      <c r="T29" s="26"/>
      <c r="U29" s="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x14ac:dyDescent="0.35">
      <c r="A30" s="1"/>
      <c r="B30" s="1"/>
      <c r="C30" s="1"/>
      <c r="D30" s="129"/>
      <c r="E30" s="124"/>
      <c r="F30" s="125"/>
      <c r="G30" s="108"/>
      <c r="H30" s="108"/>
      <c r="I30" s="108"/>
      <c r="J30" s="108"/>
      <c r="K30" s="110" t="s">
        <v>54</v>
      </c>
      <c r="L30" s="110"/>
      <c r="M30" s="35">
        <v>0.35832399999999998</v>
      </c>
      <c r="N30" s="35">
        <v>0.23536499999999999</v>
      </c>
      <c r="O30" s="35">
        <v>1.0159E-2</v>
      </c>
      <c r="P30" s="39">
        <v>207</v>
      </c>
      <c r="Q30" s="39">
        <v>0.74780500000000005</v>
      </c>
      <c r="R30" s="39">
        <v>-1.2263949999999999</v>
      </c>
      <c r="S30" s="26"/>
      <c r="T30" s="26"/>
      <c r="U30" s="1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x14ac:dyDescent="0.35">
      <c r="A31" s="1"/>
      <c r="B31" s="1"/>
      <c r="C31" s="1"/>
      <c r="D31" s="130"/>
      <c r="E31" s="126"/>
      <c r="F31" s="127"/>
      <c r="G31" s="108"/>
      <c r="H31" s="108"/>
      <c r="I31" s="108"/>
      <c r="J31" s="108"/>
      <c r="K31" s="111" t="s">
        <v>56</v>
      </c>
      <c r="L31" s="112"/>
      <c r="M31" s="27">
        <v>0.30877199999999999</v>
      </c>
      <c r="N31" s="27">
        <v>0.21479999999999999</v>
      </c>
      <c r="O31" s="27">
        <v>1.3025E-2</v>
      </c>
      <c r="P31" s="27">
        <v>148</v>
      </c>
      <c r="Q31" s="27">
        <v>0.69025099999999995</v>
      </c>
      <c r="R31" s="36">
        <v>-1.07013</v>
      </c>
      <c r="S31" s="26"/>
      <c r="T31" s="26"/>
      <c r="U31" s="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x14ac:dyDescent="0.35">
      <c r="A32" s="1"/>
      <c r="B32" s="1"/>
      <c r="C32" s="1"/>
      <c r="D32" s="128" t="s">
        <v>62</v>
      </c>
      <c r="E32" s="131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3"/>
      <c r="S32" s="26"/>
      <c r="T32" s="26"/>
      <c r="U32" s="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35">
      <c r="A33" s="1"/>
      <c r="B33" s="1"/>
      <c r="C33" s="1"/>
      <c r="D33" s="129"/>
      <c r="E33" s="122" t="s">
        <v>59</v>
      </c>
      <c r="F33" s="123"/>
      <c r="G33" s="108" t="s">
        <v>60</v>
      </c>
      <c r="H33" s="108"/>
      <c r="I33" s="108"/>
      <c r="J33" s="108"/>
      <c r="K33" s="110" t="s">
        <v>64</v>
      </c>
      <c r="L33" s="110"/>
      <c r="M33" s="39">
        <v>0.23472100000000001</v>
      </c>
      <c r="N33" s="35">
        <v>0.14421100000000001</v>
      </c>
      <c r="O33" s="35">
        <v>1.0604000000000001E-2</v>
      </c>
      <c r="P33" s="28">
        <v>131</v>
      </c>
      <c r="Q33" s="39">
        <v>0.66922899999999996</v>
      </c>
      <c r="R33" s="39">
        <v>-9.8399399999999998E-2</v>
      </c>
      <c r="S33" s="26"/>
      <c r="T33" s="26"/>
      <c r="U33" s="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35">
      <c r="A34" s="1"/>
      <c r="B34" s="1"/>
      <c r="C34" s="1"/>
      <c r="D34" s="129"/>
      <c r="E34" s="124"/>
      <c r="F34" s="125"/>
      <c r="G34" s="108"/>
      <c r="H34" s="108"/>
      <c r="I34" s="108"/>
      <c r="J34" s="108"/>
      <c r="K34" s="111" t="s">
        <v>65</v>
      </c>
      <c r="L34" s="112"/>
      <c r="M34" s="36">
        <v>0.23739399999999999</v>
      </c>
      <c r="N34" s="27">
        <v>0.13527400000000001</v>
      </c>
      <c r="O34" s="27">
        <v>1.0531E-2</v>
      </c>
      <c r="P34" s="27">
        <v>158</v>
      </c>
      <c r="Q34" s="36">
        <v>0.66971099999999995</v>
      </c>
      <c r="R34" s="27">
        <v>-9.8791260000000006E-2</v>
      </c>
      <c r="S34" s="9"/>
      <c r="T34" s="9"/>
      <c r="U34" s="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35">
      <c r="A35" s="1"/>
      <c r="B35" s="1"/>
      <c r="C35" s="1"/>
      <c r="D35" s="129"/>
      <c r="E35" s="124"/>
      <c r="F35" s="125"/>
      <c r="G35" s="108"/>
      <c r="H35" s="108"/>
      <c r="I35" s="108"/>
      <c r="J35" s="108"/>
      <c r="K35" s="110" t="s">
        <v>66</v>
      </c>
      <c r="L35" s="110"/>
      <c r="M35" s="39">
        <v>0.10822900000000001</v>
      </c>
      <c r="N35" s="39">
        <v>5.0576000000000003E-2</v>
      </c>
      <c r="O35" s="39">
        <v>3.6570000000000001E-3</v>
      </c>
      <c r="P35" s="39">
        <v>76</v>
      </c>
      <c r="Q35" s="39">
        <v>0.60570000000000002</v>
      </c>
      <c r="R35" s="35">
        <v>-7.5989349999999997E-2</v>
      </c>
      <c r="S35" s="26"/>
      <c r="T35" s="26"/>
      <c r="U35" s="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x14ac:dyDescent="0.35">
      <c r="A36" s="1"/>
      <c r="B36" s="1"/>
      <c r="C36" s="1"/>
      <c r="D36" s="130"/>
      <c r="E36" s="126"/>
      <c r="F36" s="127"/>
      <c r="G36" s="108"/>
      <c r="H36" s="108"/>
      <c r="I36" s="108"/>
      <c r="J36" s="108"/>
      <c r="K36" s="111" t="s">
        <v>67</v>
      </c>
      <c r="L36" s="112"/>
      <c r="M36" s="40">
        <v>2.6515E-2</v>
      </c>
      <c r="N36" s="40">
        <v>7.0100000000000002E-4</v>
      </c>
      <c r="O36" s="40">
        <v>1.2725999999999999E-2</v>
      </c>
      <c r="P36" s="40">
        <v>13</v>
      </c>
      <c r="Q36" s="40">
        <v>0.60570000000000002</v>
      </c>
      <c r="R36" s="40">
        <v>-7.5989349999999997E-2</v>
      </c>
      <c r="S36" s="10"/>
      <c r="T36" s="10"/>
      <c r="U36" s="1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x14ac:dyDescent="0.35">
      <c r="A37" s="1"/>
      <c r="B37" s="1"/>
      <c r="C37" s="1"/>
      <c r="D37" s="164"/>
      <c r="E37" s="131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3"/>
      <c r="S37" s="9"/>
      <c r="T37" s="9"/>
      <c r="U37" s="1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x14ac:dyDescent="0.35">
      <c r="A38" s="1"/>
      <c r="B38" s="1"/>
      <c r="C38" s="1"/>
      <c r="D38" s="105" t="s">
        <v>63</v>
      </c>
      <c r="E38" s="153" t="s">
        <v>57</v>
      </c>
      <c r="F38" s="153"/>
      <c r="G38" s="108" t="s">
        <v>58</v>
      </c>
      <c r="H38" s="108"/>
      <c r="I38" s="108"/>
      <c r="J38" s="108"/>
      <c r="K38" s="110" t="s">
        <v>53</v>
      </c>
      <c r="L38" s="110"/>
      <c r="M38" s="35">
        <v>0.33607599999999999</v>
      </c>
      <c r="N38" s="35">
        <v>0.24695800000000001</v>
      </c>
      <c r="O38" s="35">
        <v>1.5702000000000001E-2</v>
      </c>
      <c r="P38" s="28">
        <v>152</v>
      </c>
      <c r="Q38" s="35">
        <v>0.67168399999999995</v>
      </c>
      <c r="R38" s="39">
        <v>-1.061153</v>
      </c>
      <c r="S38" s="2"/>
      <c r="T38" s="2"/>
      <c r="U38" s="1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x14ac:dyDescent="0.35">
      <c r="A39" s="1"/>
      <c r="B39" s="1"/>
      <c r="C39" s="1"/>
      <c r="D39" s="105"/>
      <c r="E39" s="153"/>
      <c r="F39" s="153"/>
      <c r="G39" s="108"/>
      <c r="H39" s="108"/>
      <c r="I39" s="108"/>
      <c r="J39" s="108"/>
      <c r="K39" s="109" t="s">
        <v>55</v>
      </c>
      <c r="L39" s="109"/>
      <c r="M39" s="27">
        <v>0.20791699999999999</v>
      </c>
      <c r="N39" s="27">
        <v>0.13305</v>
      </c>
      <c r="O39" s="27">
        <v>1.0137E-2</v>
      </c>
      <c r="P39" s="27">
        <v>110</v>
      </c>
      <c r="Q39" s="27">
        <v>0.65011699999999994</v>
      </c>
      <c r="R39" s="27">
        <v>-0.91913900000000004</v>
      </c>
      <c r="S39" s="9"/>
      <c r="T39" s="9"/>
      <c r="U39" s="1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x14ac:dyDescent="0.35">
      <c r="A40" s="1"/>
      <c r="B40" s="1"/>
      <c r="C40" s="1"/>
      <c r="D40" s="105"/>
      <c r="E40" s="153"/>
      <c r="F40" s="153"/>
      <c r="G40" s="108"/>
      <c r="H40" s="108"/>
      <c r="I40" s="108"/>
      <c r="J40" s="108"/>
      <c r="K40" s="110" t="s">
        <v>54</v>
      </c>
      <c r="L40" s="110"/>
      <c r="M40" s="39">
        <v>0.17142099999999999</v>
      </c>
      <c r="N40" s="39">
        <v>0.105909</v>
      </c>
      <c r="O40" s="39">
        <v>8.1329999999999996E-3</v>
      </c>
      <c r="P40" s="39">
        <v>92</v>
      </c>
      <c r="Q40" s="39">
        <v>0.63596299999999995</v>
      </c>
      <c r="R40" s="35">
        <v>-0.85030600000000001</v>
      </c>
      <c r="S40" s="2"/>
      <c r="T40" s="2"/>
      <c r="U40" s="1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x14ac:dyDescent="0.35">
      <c r="A41" s="1"/>
      <c r="B41" s="1"/>
      <c r="C41" s="1"/>
      <c r="D41" s="105"/>
      <c r="E41" s="153"/>
      <c r="F41" s="153"/>
      <c r="G41" s="108"/>
      <c r="H41" s="108"/>
      <c r="I41" s="108"/>
      <c r="J41" s="108"/>
      <c r="K41" s="109" t="s">
        <v>56</v>
      </c>
      <c r="L41" s="109"/>
      <c r="M41" s="40">
        <v>0.10179000000000001</v>
      </c>
      <c r="N41" s="40">
        <v>5.6898999999999998E-2</v>
      </c>
      <c r="O41" s="40">
        <v>5.4479999999999997E-3</v>
      </c>
      <c r="P41" s="40">
        <v>61</v>
      </c>
      <c r="Q41" s="40">
        <v>0.59384000000000003</v>
      </c>
      <c r="R41" s="40">
        <v>-0.61219100000000004</v>
      </c>
      <c r="S41" s="9"/>
      <c r="T41" s="9"/>
      <c r="U41" s="1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x14ac:dyDescent="0.35">
      <c r="A42" s="1"/>
      <c r="B42" s="1"/>
      <c r="C42" s="1"/>
      <c r="D42" s="8"/>
      <c r="E42" s="8"/>
      <c r="F42" s="8"/>
      <c r="G42" s="8"/>
      <c r="H42" s="8"/>
      <c r="I42" s="8"/>
      <c r="J42" s="8"/>
      <c r="K42" s="9"/>
      <c r="L42" s="9"/>
      <c r="M42" s="42"/>
      <c r="N42" s="42"/>
      <c r="O42" s="42"/>
      <c r="P42" s="42"/>
      <c r="Q42" s="42"/>
      <c r="R42" s="42"/>
      <c r="S42" s="2"/>
      <c r="T42" s="2"/>
      <c r="U42" s="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35">
      <c r="A43" s="1"/>
      <c r="B43" s="1"/>
      <c r="C43" s="1"/>
      <c r="D43" s="8"/>
      <c r="E43" s="8"/>
      <c r="F43" s="8"/>
      <c r="G43" s="8"/>
      <c r="H43" s="8"/>
      <c r="I43" s="8"/>
      <c r="J43" s="8"/>
      <c r="K43" s="9"/>
      <c r="L43" s="9"/>
      <c r="M43" s="42"/>
      <c r="N43" s="42"/>
      <c r="O43" s="42"/>
      <c r="P43" s="42"/>
      <c r="Q43" s="42"/>
      <c r="R43" s="42"/>
      <c r="S43" s="9"/>
      <c r="T43" s="9"/>
      <c r="U43" s="1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x14ac:dyDescent="0.35">
      <c r="A44" s="1"/>
      <c r="B44" s="1"/>
      <c r="C44" s="1"/>
      <c r="D44" s="8"/>
      <c r="E44" s="8"/>
      <c r="F44" s="8"/>
      <c r="G44" s="8"/>
      <c r="H44" s="8"/>
      <c r="I44" s="8"/>
      <c r="J44" s="8"/>
      <c r="K44" s="9"/>
      <c r="L44" s="9"/>
      <c r="M44" s="42"/>
      <c r="N44" s="42"/>
      <c r="O44" s="42"/>
      <c r="P44" s="42"/>
      <c r="Q44" s="42"/>
      <c r="R44" s="42"/>
      <c r="S44" s="2"/>
      <c r="T44" s="2"/>
      <c r="U44" s="1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35">
      <c r="A45" s="1"/>
      <c r="B45" s="1"/>
      <c r="C45" s="1"/>
      <c r="D45" s="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9"/>
      <c r="T45" s="9"/>
      <c r="U45" s="1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x14ac:dyDescent="0.35">
      <c r="A46" s="1"/>
      <c r="B46" s="1"/>
      <c r="C46" s="1"/>
      <c r="D46" s="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x14ac:dyDescent="0.35">
      <c r="A47" s="1"/>
      <c r="B47" s="1"/>
      <c r="C47" s="1"/>
      <c r="D47" s="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9"/>
      <c r="T47" s="9"/>
      <c r="U47" s="1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x14ac:dyDescent="0.35">
      <c r="A48" s="1"/>
      <c r="B48" s="1"/>
      <c r="C48" s="1"/>
      <c r="D48" s="1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5"/>
      <c r="T48" s="15"/>
      <c r="U48" s="1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x14ac:dyDescent="0.35">
      <c r="A49" s="1"/>
      <c r="B49" s="1"/>
      <c r="C49" s="1"/>
      <c r="D49" s="12"/>
      <c r="E49" s="16"/>
      <c r="F49" s="16"/>
      <c r="G49" s="12"/>
      <c r="H49" s="12"/>
      <c r="I49" s="12"/>
      <c r="J49" s="12"/>
      <c r="K49" s="13"/>
      <c r="L49" s="13"/>
      <c r="M49" s="171"/>
      <c r="N49" s="171"/>
      <c r="O49" s="171"/>
      <c r="P49" s="171"/>
      <c r="Q49" s="171"/>
      <c r="R49" s="171"/>
      <c r="S49" s="15"/>
      <c r="T49" s="15"/>
      <c r="U49" s="1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x14ac:dyDescent="0.35">
      <c r="A50" s="1"/>
      <c r="B50" s="1"/>
      <c r="C50" s="1"/>
      <c r="D50" s="12"/>
      <c r="E50" s="16"/>
      <c r="F50" s="16"/>
      <c r="G50" s="12"/>
      <c r="H50" s="12"/>
      <c r="I50" s="12"/>
      <c r="J50" s="12"/>
      <c r="K50" s="13"/>
      <c r="L50" s="13"/>
      <c r="M50" s="171"/>
      <c r="N50" s="171"/>
      <c r="O50" s="171"/>
      <c r="P50" s="171"/>
      <c r="Q50" s="171"/>
      <c r="R50" s="171"/>
      <c r="S50" s="15"/>
      <c r="T50" s="15"/>
      <c r="U50" s="1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x14ac:dyDescent="0.35">
      <c r="A51" s="1"/>
      <c r="B51" s="1"/>
      <c r="C51" s="1"/>
      <c r="D51" s="12"/>
      <c r="E51" s="16"/>
      <c r="F51" s="16"/>
      <c r="G51" s="12"/>
      <c r="H51" s="12"/>
      <c r="I51" s="12"/>
      <c r="J51" s="12"/>
      <c r="K51" s="13"/>
      <c r="L51" s="13"/>
      <c r="M51" s="172"/>
      <c r="N51" s="172"/>
      <c r="O51" s="172"/>
      <c r="P51" s="172"/>
      <c r="Q51" s="172"/>
      <c r="R51" s="172"/>
      <c r="S51" s="15"/>
      <c r="T51" s="15"/>
      <c r="U51" s="1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x14ac:dyDescent="0.35">
      <c r="A52" s="1"/>
      <c r="B52" s="1"/>
      <c r="C52" s="1"/>
      <c r="D52" s="12"/>
      <c r="E52" s="16"/>
      <c r="F52" s="16"/>
      <c r="G52" s="12"/>
      <c r="H52" s="12"/>
      <c r="I52" s="12"/>
      <c r="J52" s="12"/>
      <c r="K52" s="13"/>
      <c r="L52" s="13"/>
      <c r="M52" s="171"/>
      <c r="N52" s="171"/>
      <c r="O52" s="171"/>
      <c r="P52" s="171"/>
      <c r="Q52" s="171"/>
      <c r="R52" s="171"/>
      <c r="S52" s="15"/>
      <c r="T52" s="15"/>
      <c r="U52" s="1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x14ac:dyDescent="0.35">
      <c r="A53" s="1"/>
      <c r="B53" s="1"/>
      <c r="C53" s="1"/>
      <c r="D53" s="12"/>
      <c r="E53" s="16"/>
      <c r="F53" s="16"/>
      <c r="G53" s="12"/>
      <c r="H53" s="12"/>
      <c r="I53" s="12"/>
      <c r="J53" s="12"/>
      <c r="K53" s="13"/>
      <c r="L53" s="13"/>
      <c r="M53" s="171"/>
      <c r="N53" s="171"/>
      <c r="O53" s="171"/>
      <c r="P53" s="171"/>
      <c r="Q53" s="171"/>
      <c r="R53" s="171"/>
      <c r="S53" s="15"/>
      <c r="T53" s="15"/>
      <c r="U53" s="1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35">
      <c r="A54" s="1"/>
      <c r="B54" s="1"/>
      <c r="C54" s="1"/>
      <c r="D54" s="12"/>
      <c r="E54" s="16"/>
      <c r="F54" s="16"/>
      <c r="G54" s="12"/>
      <c r="H54" s="12"/>
      <c r="I54" s="12"/>
      <c r="J54" s="12"/>
      <c r="K54" s="13"/>
      <c r="L54" s="13"/>
      <c r="M54" s="171"/>
      <c r="N54" s="171"/>
      <c r="O54" s="171"/>
      <c r="P54" s="171"/>
      <c r="Q54" s="171"/>
      <c r="R54" s="171"/>
      <c r="S54" s="15"/>
      <c r="T54" s="15"/>
      <c r="U54" s="1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x14ac:dyDescent="0.35">
      <c r="A55" s="1"/>
      <c r="B55" s="1"/>
      <c r="C55" s="1"/>
      <c r="D55" s="12"/>
      <c r="E55" s="16"/>
      <c r="F55" s="16"/>
      <c r="G55" s="12"/>
      <c r="H55" s="12"/>
      <c r="I55" s="12"/>
      <c r="J55" s="12"/>
      <c r="K55" s="13"/>
      <c r="L55" s="13"/>
      <c r="M55" s="172"/>
      <c r="N55" s="172"/>
      <c r="O55" s="172"/>
      <c r="P55" s="172"/>
      <c r="Q55" s="172"/>
      <c r="R55" s="172"/>
      <c r="S55" s="15"/>
      <c r="T55" s="15"/>
      <c r="U55" s="1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x14ac:dyDescent="0.35">
      <c r="A56" s="1"/>
      <c r="B56" s="1"/>
      <c r="C56" s="1"/>
      <c r="D56" s="12"/>
      <c r="E56" s="16"/>
      <c r="F56" s="16"/>
      <c r="G56" s="12"/>
      <c r="H56" s="12"/>
      <c r="I56" s="12"/>
      <c r="J56" s="12"/>
      <c r="K56" s="13"/>
      <c r="L56" s="13"/>
      <c r="M56" s="171"/>
      <c r="N56" s="171"/>
      <c r="O56" s="171"/>
      <c r="P56" s="171"/>
      <c r="Q56" s="171"/>
      <c r="R56" s="171"/>
      <c r="S56" s="15"/>
      <c r="T56" s="15"/>
      <c r="U56" s="1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x14ac:dyDescent="0.35">
      <c r="A57" s="1"/>
      <c r="B57" s="1"/>
      <c r="C57" s="1"/>
      <c r="D57" s="12"/>
      <c r="E57" s="12"/>
      <c r="F57" s="12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5"/>
      <c r="T57" s="15"/>
      <c r="U57" s="1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x14ac:dyDescent="0.35">
      <c r="A58" s="1"/>
      <c r="B58" s="1"/>
      <c r="C58" s="1"/>
      <c r="D58" s="12"/>
      <c r="E58" s="12"/>
      <c r="F58" s="12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5"/>
      <c r="T58" s="15"/>
      <c r="U58" s="1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x14ac:dyDescent="0.35">
      <c r="A59" s="1"/>
      <c r="B59" s="1"/>
      <c r="C59" s="1"/>
      <c r="D59" s="12"/>
      <c r="E59" s="12"/>
      <c r="F59" s="12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5"/>
      <c r="T59" s="15"/>
      <c r="U59" s="1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x14ac:dyDescent="0.35">
      <c r="A60" s="1"/>
      <c r="B60" s="1"/>
      <c r="C60" s="1"/>
      <c r="D60" s="12"/>
      <c r="E60" s="12"/>
      <c r="F60" s="12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5"/>
      <c r="T60" s="15"/>
      <c r="U60" s="1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x14ac:dyDescent="0.35">
      <c r="A61" s="1"/>
      <c r="B61" s="1"/>
      <c r="C61" s="1"/>
      <c r="D61" s="12"/>
      <c r="E61" s="12"/>
      <c r="F61" s="12"/>
      <c r="G61" s="12"/>
      <c r="H61" s="12"/>
      <c r="I61" s="12"/>
      <c r="J61" s="12"/>
      <c r="K61" s="13"/>
      <c r="L61" s="13"/>
      <c r="M61" s="171"/>
      <c r="N61" s="171"/>
      <c r="O61" s="171"/>
      <c r="P61" s="171"/>
      <c r="Q61" s="171"/>
      <c r="R61" s="171"/>
      <c r="S61" s="15"/>
      <c r="T61" s="15"/>
      <c r="U61" s="1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x14ac:dyDescent="0.35">
      <c r="A62" s="1"/>
      <c r="B62" s="1"/>
      <c r="C62" s="1"/>
      <c r="D62" s="12"/>
      <c r="E62" s="12"/>
      <c r="F62" s="12"/>
      <c r="G62" s="12"/>
      <c r="H62" s="12"/>
      <c r="I62" s="12"/>
      <c r="J62" s="12"/>
      <c r="K62" s="13"/>
      <c r="L62" s="13"/>
      <c r="M62" s="171"/>
      <c r="N62" s="171"/>
      <c r="O62" s="171"/>
      <c r="P62" s="171"/>
      <c r="Q62" s="171"/>
      <c r="R62" s="171"/>
      <c r="S62" s="15"/>
      <c r="T62" s="15"/>
      <c r="U62" s="1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x14ac:dyDescent="0.35">
      <c r="A63" s="1"/>
      <c r="B63" s="1"/>
      <c r="C63" s="1"/>
      <c r="D63" s="12"/>
      <c r="E63" s="12"/>
      <c r="F63" s="12"/>
      <c r="G63" s="12"/>
      <c r="H63" s="12"/>
      <c r="I63" s="12"/>
      <c r="J63" s="12"/>
      <c r="K63" s="13"/>
      <c r="L63" s="13"/>
      <c r="M63" s="172"/>
      <c r="N63" s="172"/>
      <c r="O63" s="172"/>
      <c r="P63" s="172"/>
      <c r="Q63" s="172"/>
      <c r="R63" s="172"/>
      <c r="S63" s="15"/>
      <c r="T63" s="15"/>
      <c r="U63" s="1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x14ac:dyDescent="0.35">
      <c r="A64" s="1"/>
      <c r="B64" s="1"/>
      <c r="C64" s="1"/>
      <c r="D64" s="12"/>
      <c r="E64" s="12"/>
      <c r="F64" s="12"/>
      <c r="G64" s="12"/>
      <c r="H64" s="12"/>
      <c r="I64" s="12"/>
      <c r="J64" s="12"/>
      <c r="K64" s="13"/>
      <c r="L64" s="13"/>
      <c r="M64" s="171"/>
      <c r="N64" s="171"/>
      <c r="O64" s="171"/>
      <c r="P64" s="171"/>
      <c r="Q64" s="171"/>
      <c r="R64" s="171"/>
      <c r="S64" s="15"/>
      <c r="T64" s="15"/>
      <c r="U64" s="1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x14ac:dyDescent="0.35">
      <c r="A65" s="1"/>
      <c r="B65" s="1"/>
      <c r="C65" s="1"/>
      <c r="D65" s="12"/>
      <c r="E65" s="12"/>
      <c r="F65" s="12"/>
      <c r="G65" s="12"/>
      <c r="H65" s="12"/>
      <c r="I65" s="12"/>
      <c r="J65" s="12"/>
      <c r="K65" s="13"/>
      <c r="L65" s="13"/>
      <c r="M65" s="171"/>
      <c r="N65" s="171"/>
      <c r="O65" s="171"/>
      <c r="P65" s="171"/>
      <c r="Q65" s="171"/>
      <c r="R65" s="171"/>
      <c r="S65" s="15"/>
      <c r="T65" s="15"/>
      <c r="U65" s="1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x14ac:dyDescent="0.35">
      <c r="A66" s="1"/>
      <c r="B66" s="1"/>
      <c r="C66" s="1"/>
      <c r="D66" s="12"/>
      <c r="E66" s="12"/>
      <c r="F66" s="12"/>
      <c r="G66" s="12"/>
      <c r="H66" s="12"/>
      <c r="I66" s="12"/>
      <c r="J66" s="12"/>
      <c r="K66" s="13"/>
      <c r="L66" s="13"/>
      <c r="M66" s="171"/>
      <c r="N66" s="171"/>
      <c r="O66" s="171"/>
      <c r="P66" s="171"/>
      <c r="Q66" s="171"/>
      <c r="R66" s="171"/>
      <c r="S66" s="15"/>
      <c r="T66" s="15"/>
      <c r="U66" s="1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x14ac:dyDescent="0.35">
      <c r="A67" s="1"/>
      <c r="B67" s="1"/>
      <c r="C67" s="1"/>
      <c r="D67" s="12"/>
      <c r="E67" s="12"/>
      <c r="F67" s="12"/>
      <c r="G67" s="12"/>
      <c r="H67" s="12"/>
      <c r="I67" s="12"/>
      <c r="J67" s="12"/>
      <c r="K67" s="13"/>
      <c r="L67" s="13"/>
      <c r="M67" s="172"/>
      <c r="N67" s="172"/>
      <c r="O67" s="172"/>
      <c r="P67" s="172"/>
      <c r="Q67" s="172"/>
      <c r="R67" s="172"/>
      <c r="S67" s="13"/>
      <c r="T67" s="13"/>
      <c r="U67" s="1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x14ac:dyDescent="0.35">
      <c r="A68" s="1"/>
      <c r="B68" s="1"/>
      <c r="C68" s="1"/>
      <c r="D68" s="12"/>
      <c r="E68" s="12"/>
      <c r="F68" s="12"/>
      <c r="G68" s="12"/>
      <c r="H68" s="12"/>
      <c r="I68" s="12"/>
      <c r="J68" s="12"/>
      <c r="K68" s="13"/>
      <c r="L68" s="13"/>
      <c r="M68" s="171"/>
      <c r="N68" s="171"/>
      <c r="O68" s="171"/>
      <c r="P68" s="171"/>
      <c r="Q68" s="171"/>
      <c r="R68" s="171"/>
      <c r="S68" s="15"/>
      <c r="T68" s="15"/>
      <c r="U68" s="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x14ac:dyDescent="0.35">
      <c r="A69" s="1"/>
      <c r="B69" s="1"/>
      <c r="C69" s="1"/>
      <c r="D69" s="12"/>
      <c r="E69" s="12"/>
      <c r="F69" s="12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3"/>
      <c r="T69" s="13"/>
      <c r="U69" s="1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x14ac:dyDescent="0.35">
      <c r="A70" s="1"/>
      <c r="B70" s="1"/>
      <c r="C70" s="1"/>
      <c r="D70" s="12"/>
      <c r="E70" s="12"/>
      <c r="F70" s="12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5"/>
      <c r="T70" s="15"/>
      <c r="U70" s="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x14ac:dyDescent="0.35">
      <c r="A71" s="1"/>
      <c r="B71" s="1"/>
      <c r="C71" s="1"/>
      <c r="D71" s="12"/>
      <c r="E71" s="12"/>
      <c r="F71" s="12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3"/>
      <c r="T71" s="13"/>
      <c r="U71" s="1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x14ac:dyDescent="0.35">
      <c r="A72" s="1"/>
      <c r="B72" s="1"/>
      <c r="C72" s="1"/>
      <c r="D72" s="12"/>
      <c r="E72" s="12"/>
      <c r="F72" s="12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5"/>
      <c r="T72" s="15"/>
      <c r="U72" s="1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35">
      <c r="A73" s="1"/>
      <c r="B73" s="1"/>
      <c r="C73" s="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5"/>
      <c r="T73" s="15"/>
      <c r="U73" s="1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x14ac:dyDescent="0.35">
      <c r="A74" s="1"/>
      <c r="B74" s="1"/>
      <c r="C74" s="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5"/>
      <c r="T74" s="15"/>
      <c r="U74" s="1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x14ac:dyDescent="0.35">
      <c r="A75" s="1"/>
      <c r="B75" s="1"/>
      <c r="C75" s="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5"/>
      <c r="T75" s="15"/>
      <c r="U75" s="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x14ac:dyDescent="0.35">
      <c r="A76" s="1"/>
      <c r="B76" s="1"/>
      <c r="C76" s="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5"/>
      <c r="T76" s="15"/>
      <c r="U76" s="1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x14ac:dyDescent="0.35">
      <c r="A77" s="1"/>
      <c r="B77" s="1"/>
      <c r="C77" s="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5"/>
      <c r="T77" s="15"/>
      <c r="U77" s="1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5">
      <c r="A78" s="1"/>
      <c r="B78" s="1"/>
      <c r="C78" s="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5"/>
      <c r="T78" s="15"/>
      <c r="U78" s="1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x14ac:dyDescent="0.35">
      <c r="A79" s="1"/>
      <c r="B79" s="1"/>
      <c r="C79" s="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5"/>
      <c r="T79" s="15"/>
      <c r="U79" s="1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x14ac:dyDescent="0.35">
      <c r="A80" s="1"/>
      <c r="B80" s="1"/>
      <c r="C80" s="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5"/>
      <c r="T80" s="15"/>
      <c r="U80" s="1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x14ac:dyDescent="0.35">
      <c r="A81" s="1"/>
      <c r="B81" s="1"/>
      <c r="C81" s="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5"/>
      <c r="T81" s="15"/>
      <c r="U81" s="1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x14ac:dyDescent="0.35">
      <c r="A82" s="1"/>
      <c r="B82" s="1"/>
      <c r="C82" s="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5"/>
      <c r="T82" s="15"/>
      <c r="U82" s="1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x14ac:dyDescent="0.35">
      <c r="A83" s="1"/>
      <c r="B83" s="1"/>
      <c r="C83" s="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5"/>
      <c r="T83" s="15"/>
      <c r="U83" s="1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x14ac:dyDescent="0.35">
      <c r="A84" s="1"/>
      <c r="B84" s="1"/>
      <c r="C84" s="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5"/>
      <c r="T84" s="15"/>
      <c r="U84" s="1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x14ac:dyDescent="0.35">
      <c r="A85" s="1"/>
      <c r="B85" s="1"/>
      <c r="C85" s="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5"/>
      <c r="T85" s="15"/>
      <c r="U85" s="1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x14ac:dyDescent="0.35">
      <c r="A86" s="1"/>
      <c r="B86" s="1"/>
      <c r="C86" s="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5"/>
      <c r="T86" s="15"/>
      <c r="U86" s="1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x14ac:dyDescent="0.35">
      <c r="C87" s="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5"/>
      <c r="T87" s="15"/>
      <c r="U87" s="1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x14ac:dyDescent="0.35">
      <c r="C88" s="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5"/>
      <c r="T88" s="15"/>
      <c r="U88" s="1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x14ac:dyDescent="0.35">
      <c r="C89" s="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5"/>
      <c r="T89" s="15"/>
      <c r="U89" s="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x14ac:dyDescent="0.35">
      <c r="C90" s="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5"/>
      <c r="T90" s="15"/>
      <c r="U90" s="1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x14ac:dyDescent="0.35">
      <c r="C91" s="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3"/>
      <c r="T91" s="13"/>
      <c r="U91" s="1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x14ac:dyDescent="0.35">
      <c r="C92" s="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5"/>
      <c r="T92" s="10"/>
      <c r="U92" s="1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x14ac:dyDescent="0.35">
      <c r="C93" s="1"/>
      <c r="D93" s="12"/>
      <c r="E93" s="12"/>
      <c r="F93" s="12"/>
      <c r="G93" s="12"/>
      <c r="H93" s="12"/>
      <c r="I93" s="12"/>
      <c r="J93" s="12"/>
      <c r="K93" s="13"/>
      <c r="L93" s="13"/>
      <c r="M93" s="13"/>
      <c r="N93" s="13"/>
      <c r="O93" s="13"/>
      <c r="P93" s="13"/>
      <c r="Q93" s="13"/>
      <c r="R93" s="13"/>
      <c r="S93" s="13"/>
      <c r="T93" s="9"/>
      <c r="U93" s="1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x14ac:dyDescent="0.35">
      <c r="C94" s="1"/>
      <c r="D94" s="8"/>
      <c r="E94" s="8"/>
      <c r="F94" s="8"/>
      <c r="G94" s="8"/>
      <c r="H94" s="8"/>
      <c r="I94" s="8"/>
      <c r="J94" s="8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1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x14ac:dyDescent="0.35">
      <c r="C95" s="1"/>
      <c r="D95" s="8"/>
      <c r="E95" s="8"/>
      <c r="F95" s="8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1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x14ac:dyDescent="0.3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3:33" x14ac:dyDescent="0.3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3:33" x14ac:dyDescent="0.3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3:33" x14ac:dyDescent="0.3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3:33" x14ac:dyDescent="0.3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3:33" x14ac:dyDescent="0.3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3:33" x14ac:dyDescent="0.3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3:33" x14ac:dyDescent="0.3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3:33" x14ac:dyDescent="0.3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3:33" x14ac:dyDescent="0.3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3:33" x14ac:dyDescent="0.3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3:33" x14ac:dyDescent="0.3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3:33" x14ac:dyDescent="0.35">
      <c r="C108" s="1"/>
      <c r="D108" s="1"/>
      <c r="E108" s="1"/>
      <c r="F108" s="1"/>
      <c r="G108" s="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3:33" x14ac:dyDescent="0.35">
      <c r="C109" s="1"/>
      <c r="D109" s="1"/>
      <c r="E109" s="1"/>
      <c r="F109" s="1"/>
      <c r="G109" s="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3:33" x14ac:dyDescent="0.35"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3:33" x14ac:dyDescent="0.35"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3:33" x14ac:dyDescent="0.35">
      <c r="H112" s="5"/>
      <c r="I112" s="6"/>
      <c r="J112" s="6"/>
      <c r="K112" s="6"/>
      <c r="L112" s="6"/>
      <c r="M112" s="6"/>
      <c r="N112" s="6"/>
      <c r="O112" s="7"/>
      <c r="P112" s="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8:29" x14ac:dyDescent="0.35">
      <c r="H113" s="5"/>
      <c r="I113" s="6"/>
      <c r="J113" s="6"/>
      <c r="K113" s="6"/>
      <c r="L113" s="6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5"/>
      <c r="Z113" s="5"/>
      <c r="AA113" s="5"/>
      <c r="AB113" s="5"/>
      <c r="AC113" s="5"/>
    </row>
    <row r="114" spans="8:29" x14ac:dyDescent="0.35">
      <c r="H114" s="5"/>
      <c r="I114" s="6"/>
      <c r="J114" s="6"/>
      <c r="K114" s="6"/>
      <c r="L114" s="6"/>
      <c r="M114" s="6"/>
      <c r="N114" s="6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8:29" x14ac:dyDescent="0.35">
      <c r="H115" s="5"/>
      <c r="I115" s="6"/>
      <c r="J115" s="6"/>
      <c r="K115" s="6"/>
      <c r="L115" s="6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5"/>
      <c r="Z115" s="5"/>
      <c r="AA115" s="5"/>
      <c r="AB115" s="5"/>
      <c r="AC115" s="5"/>
    </row>
    <row r="116" spans="8:29" x14ac:dyDescent="0.35">
      <c r="H116" s="5"/>
      <c r="I116" s="6"/>
      <c r="J116" s="6"/>
      <c r="K116" s="6"/>
      <c r="L116" s="6"/>
      <c r="M116" s="6"/>
      <c r="N116" s="6"/>
      <c r="O116" s="7"/>
      <c r="P116" s="7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8:29" x14ac:dyDescent="0.35">
      <c r="H117" s="5"/>
      <c r="I117" s="6"/>
      <c r="J117" s="6"/>
      <c r="K117" s="6"/>
      <c r="L117" s="6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5"/>
      <c r="Z117" s="5"/>
      <c r="AA117" s="5"/>
      <c r="AB117" s="5"/>
      <c r="AC117" s="5"/>
    </row>
    <row r="118" spans="8:29" x14ac:dyDescent="0.35">
      <c r="H118" s="5"/>
      <c r="I118" s="6"/>
      <c r="J118" s="6"/>
      <c r="K118" s="6"/>
      <c r="L118" s="6"/>
      <c r="M118" s="6"/>
      <c r="N118" s="6"/>
      <c r="O118" s="7"/>
      <c r="P118" s="7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8:29" x14ac:dyDescent="0.35">
      <c r="H119" s="5"/>
      <c r="I119" s="6"/>
      <c r="J119" s="6"/>
      <c r="K119" s="6"/>
      <c r="L119" s="6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5"/>
      <c r="Z119" s="5"/>
      <c r="AA119" s="5"/>
      <c r="AB119" s="5"/>
      <c r="AC119" s="5"/>
    </row>
    <row r="120" spans="8:29" x14ac:dyDescent="0.35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8:29" x14ac:dyDescent="0.35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8:29" x14ac:dyDescent="0.35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8:29" x14ac:dyDescent="0.35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8:29" x14ac:dyDescent="0.35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8:29" x14ac:dyDescent="0.35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8:29" x14ac:dyDescent="0.35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8:29" x14ac:dyDescent="0.35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8:29" x14ac:dyDescent="0.35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</sheetData>
  <mergeCells count="61">
    <mergeCell ref="E8:F19"/>
    <mergeCell ref="D8:D19"/>
    <mergeCell ref="G21:J26"/>
    <mergeCell ref="E21:F26"/>
    <mergeCell ref="E28:F31"/>
    <mergeCell ref="D20:D26"/>
    <mergeCell ref="E20:R20"/>
    <mergeCell ref="E27:R27"/>
    <mergeCell ref="D27:D31"/>
    <mergeCell ref="D32:D36"/>
    <mergeCell ref="E33:F36"/>
    <mergeCell ref="E38:F41"/>
    <mergeCell ref="D38:D41"/>
    <mergeCell ref="E32:R32"/>
    <mergeCell ref="E37:R37"/>
    <mergeCell ref="G8:J11"/>
    <mergeCell ref="K8:L8"/>
    <mergeCell ref="K9:L9"/>
    <mergeCell ref="K10:L10"/>
    <mergeCell ref="K11:L11"/>
    <mergeCell ref="G12:J15"/>
    <mergeCell ref="K12:L12"/>
    <mergeCell ref="K13:L13"/>
    <mergeCell ref="D3:R4"/>
    <mergeCell ref="D2:R2"/>
    <mergeCell ref="M5:R5"/>
    <mergeCell ref="D6:D7"/>
    <mergeCell ref="E6:F7"/>
    <mergeCell ref="G6:J7"/>
    <mergeCell ref="K6:L7"/>
    <mergeCell ref="M6:M7"/>
    <mergeCell ref="N6:N7"/>
    <mergeCell ref="O6:O7"/>
    <mergeCell ref="P6:P7"/>
    <mergeCell ref="Q6:Q7"/>
    <mergeCell ref="R6:R7"/>
    <mergeCell ref="E5:F5"/>
    <mergeCell ref="G5:J5"/>
    <mergeCell ref="K5:L5"/>
    <mergeCell ref="K14:L14"/>
    <mergeCell ref="K15:L15"/>
    <mergeCell ref="G16:J19"/>
    <mergeCell ref="K16:L16"/>
    <mergeCell ref="K17:L17"/>
    <mergeCell ref="K18:L18"/>
    <mergeCell ref="K19:L19"/>
    <mergeCell ref="K29:L29"/>
    <mergeCell ref="K30:L30"/>
    <mergeCell ref="K31:L31"/>
    <mergeCell ref="K28:L28"/>
    <mergeCell ref="K38:L38"/>
    <mergeCell ref="K39:L39"/>
    <mergeCell ref="K40:L40"/>
    <mergeCell ref="K41:L41"/>
    <mergeCell ref="G28:J31"/>
    <mergeCell ref="G38:J41"/>
    <mergeCell ref="K36:L36"/>
    <mergeCell ref="G33:J36"/>
    <mergeCell ref="K33:L33"/>
    <mergeCell ref="K34:L34"/>
    <mergeCell ref="K35:L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A8"/>
  <sheetViews>
    <sheetView rightToLeft="1" topLeftCell="C1" workbookViewId="0">
      <selection activeCell="M16" sqref="M16"/>
    </sheetView>
  </sheetViews>
  <sheetFormatPr defaultRowHeight="14.5" x14ac:dyDescent="0.35"/>
  <sheetData>
    <row r="4" spans="2:27" x14ac:dyDescent="0.35">
      <c r="B4" t="s">
        <v>76</v>
      </c>
      <c r="C4">
        <v>0.35112990620000001</v>
      </c>
      <c r="D4">
        <v>0.55686943359999996</v>
      </c>
      <c r="E4">
        <v>0.5752691526</v>
      </c>
      <c r="F4">
        <v>0.46896681220000003</v>
      </c>
      <c r="G4">
        <v>0.37361084880000001</v>
      </c>
      <c r="H4">
        <v>0.49707362910000003</v>
      </c>
      <c r="I4">
        <v>0.4499074307</v>
      </c>
      <c r="J4">
        <v>0.3048374224</v>
      </c>
      <c r="K4">
        <v>0.28979709170000001</v>
      </c>
      <c r="L4">
        <v>0.31077963009999998</v>
      </c>
      <c r="M4">
        <v>0.419911584</v>
      </c>
      <c r="N4">
        <v>0.45616643649999999</v>
      </c>
      <c r="O4">
        <v>0.45904501800000003</v>
      </c>
      <c r="P4">
        <v>0.49399330070000003</v>
      </c>
      <c r="Q4">
        <v>0.44383644010000001</v>
      </c>
      <c r="R4">
        <v>0.5339274195</v>
      </c>
      <c r="S4">
        <v>0.45924615769999999</v>
      </c>
      <c r="T4">
        <v>0.44259295970000001</v>
      </c>
      <c r="U4">
        <v>0.51868578440000002</v>
      </c>
      <c r="V4">
        <v>0.4333017086</v>
      </c>
      <c r="W4">
        <v>0.3187731888</v>
      </c>
      <c r="X4">
        <v>0.4621883336</v>
      </c>
      <c r="Y4">
        <v>0.56867999130000002</v>
      </c>
      <c r="Z4">
        <v>0.5665360693</v>
      </c>
      <c r="AA4">
        <v>0.50221975770000005</v>
      </c>
    </row>
    <row r="5" spans="2:27" x14ac:dyDescent="0.35">
      <c r="B5" t="s">
        <v>77</v>
      </c>
      <c r="C5">
        <v>0.27848992810000001</v>
      </c>
      <c r="D5">
        <v>0.37183397730000001</v>
      </c>
      <c r="E5">
        <v>0.3655711109</v>
      </c>
      <c r="F5">
        <v>0.31626747550000001</v>
      </c>
      <c r="G5">
        <v>0.30597651580000002</v>
      </c>
      <c r="H5">
        <v>0.39195058059999999</v>
      </c>
      <c r="I5">
        <v>0.33946456590000001</v>
      </c>
      <c r="J5">
        <v>0.22752228360000001</v>
      </c>
      <c r="K5">
        <v>0.2052500156</v>
      </c>
      <c r="L5">
        <v>0.24588950039999999</v>
      </c>
      <c r="M5">
        <v>0.34560357549999998</v>
      </c>
      <c r="N5">
        <v>0.41933765480000001</v>
      </c>
      <c r="O5">
        <v>0.43128036380000001</v>
      </c>
      <c r="P5">
        <v>0.3321648156</v>
      </c>
      <c r="Q5">
        <v>0.35172915119999998</v>
      </c>
      <c r="R5">
        <v>0.42002407930000002</v>
      </c>
      <c r="S5">
        <v>0.41473830969999997</v>
      </c>
      <c r="T5">
        <v>0.3543069257</v>
      </c>
      <c r="U5">
        <v>0.40698829040000001</v>
      </c>
      <c r="V5">
        <v>0.35102750840000002</v>
      </c>
      <c r="W5">
        <v>0.26606901389999998</v>
      </c>
      <c r="X5">
        <v>0.40079030739999999</v>
      </c>
      <c r="Y5">
        <v>0.55120126339999997</v>
      </c>
      <c r="Z5">
        <v>0.4778245324</v>
      </c>
      <c r="AA5">
        <v>0.40384480020000002</v>
      </c>
    </row>
    <row r="6" spans="2:27" x14ac:dyDescent="0.35">
      <c r="B6" t="s">
        <v>78</v>
      </c>
      <c r="C6">
        <v>0.35629395409999998</v>
      </c>
      <c r="D6">
        <v>0.37356021579999998</v>
      </c>
      <c r="E6">
        <v>0.3785008164</v>
      </c>
      <c r="F6">
        <v>0.34854030180000001</v>
      </c>
      <c r="G6">
        <v>0.27089281329999998</v>
      </c>
      <c r="H6">
        <v>0.40484943249999999</v>
      </c>
      <c r="I6">
        <v>0.3634858681</v>
      </c>
      <c r="J6">
        <v>8.6605392500000003E-2</v>
      </c>
      <c r="K6">
        <v>0.16346955890000001</v>
      </c>
      <c r="L6">
        <v>0.1885504033</v>
      </c>
      <c r="M6">
        <v>0.35602354899999999</v>
      </c>
      <c r="N6">
        <v>0.32958172959999998</v>
      </c>
      <c r="O6">
        <v>0.41513753199999998</v>
      </c>
      <c r="P6">
        <v>0.4535366146</v>
      </c>
      <c r="Q6">
        <v>0.20878651840000001</v>
      </c>
      <c r="R6">
        <v>0.40779954419999997</v>
      </c>
      <c r="S6">
        <v>0.43664000580000001</v>
      </c>
      <c r="T6">
        <v>0.3520454375</v>
      </c>
      <c r="U6">
        <v>0.45167440959999999</v>
      </c>
      <c r="V6">
        <v>0.36128528329999998</v>
      </c>
      <c r="W6">
        <v>0.314625553</v>
      </c>
      <c r="X6">
        <v>0.42951667640000002</v>
      </c>
      <c r="Y6">
        <v>0.50770024300000005</v>
      </c>
      <c r="Z6">
        <v>0.45463831129999999</v>
      </c>
      <c r="AA6">
        <v>0.43788271049999999</v>
      </c>
    </row>
    <row r="7" spans="2:27" x14ac:dyDescent="0.35">
      <c r="B7" t="s">
        <v>80</v>
      </c>
      <c r="C7">
        <v>0.27848992810000001</v>
      </c>
      <c r="D7">
        <v>0.37183397730000001</v>
      </c>
      <c r="E7">
        <v>0.3655711109</v>
      </c>
      <c r="F7">
        <v>0.31626747550000001</v>
      </c>
      <c r="G7">
        <v>0.30597651580000002</v>
      </c>
      <c r="H7">
        <v>0.39195058059999999</v>
      </c>
      <c r="I7">
        <v>0.33946456590000001</v>
      </c>
      <c r="J7">
        <v>0.22752228360000001</v>
      </c>
      <c r="K7">
        <v>0.2052500156</v>
      </c>
      <c r="L7">
        <v>0.24588950039999999</v>
      </c>
      <c r="M7">
        <v>0.34560357549999998</v>
      </c>
      <c r="N7">
        <v>0.41933765480000001</v>
      </c>
      <c r="O7">
        <v>0.43128036380000001</v>
      </c>
      <c r="P7">
        <v>0.3321648156</v>
      </c>
      <c r="Q7">
        <v>0.35172915119999998</v>
      </c>
      <c r="R7">
        <v>0.42002407930000002</v>
      </c>
      <c r="S7">
        <v>0.41473830969999997</v>
      </c>
      <c r="T7">
        <v>0.3543069257</v>
      </c>
      <c r="U7">
        <v>0.40698829040000001</v>
      </c>
      <c r="V7">
        <v>0.35102750840000002</v>
      </c>
      <c r="W7">
        <v>0.26606901389999998</v>
      </c>
      <c r="X7">
        <v>0.40079030739999999</v>
      </c>
      <c r="Y7">
        <v>0.55120126339999997</v>
      </c>
      <c r="Z7">
        <v>0.4778245324</v>
      </c>
      <c r="AA7">
        <v>0.40384480020000002</v>
      </c>
    </row>
    <row r="8" spans="2:27" x14ac:dyDescent="0.35">
      <c r="B8" t="s">
        <v>79</v>
      </c>
      <c r="C8">
        <v>0.38092051900000001</v>
      </c>
      <c r="D8">
        <v>0.39479558440000001</v>
      </c>
      <c r="E8">
        <v>0.39226262820000002</v>
      </c>
      <c r="F8">
        <v>0.4011815789</v>
      </c>
      <c r="G8">
        <v>0.42144019440000002</v>
      </c>
      <c r="H8">
        <v>0.54805317850000002</v>
      </c>
      <c r="I8">
        <v>0.40512137320000002</v>
      </c>
      <c r="J8">
        <v>0.3169482314</v>
      </c>
      <c r="K8">
        <v>0.36852794820000001</v>
      </c>
      <c r="L8">
        <v>0.34489104129999998</v>
      </c>
      <c r="M8">
        <v>0.43453378790000002</v>
      </c>
      <c r="N8">
        <v>0.44814198080000001</v>
      </c>
      <c r="O8">
        <v>0.43553770000000003</v>
      </c>
      <c r="P8">
        <v>0.46581727630000003</v>
      </c>
      <c r="Q8">
        <v>0.41005959180000001</v>
      </c>
      <c r="R8">
        <v>0.54045479809999997</v>
      </c>
      <c r="S8">
        <v>0.4588471616</v>
      </c>
      <c r="T8">
        <v>0.39510203420000001</v>
      </c>
      <c r="U8">
        <v>0.4430275441</v>
      </c>
      <c r="V8">
        <v>0.35063367020000002</v>
      </c>
      <c r="W8">
        <v>0.27320368560000002</v>
      </c>
      <c r="X8">
        <v>0.33652411059999998</v>
      </c>
      <c r="Y8">
        <v>0.49190986269999998</v>
      </c>
      <c r="Z8">
        <v>0.44597823269999998</v>
      </c>
      <c r="AA8">
        <v>0.4733652431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51"/>
  <sheetViews>
    <sheetView topLeftCell="Y120" zoomScale="80" zoomScaleNormal="80" workbookViewId="0">
      <selection activeCell="AJ119" sqref="AJ119:AV119"/>
    </sheetView>
  </sheetViews>
  <sheetFormatPr defaultRowHeight="14.5" x14ac:dyDescent="0.35"/>
  <cols>
    <col min="2" max="2" width="6.1796875" customWidth="1"/>
    <col min="3" max="3" width="9.1796875" hidden="1" customWidth="1"/>
    <col min="4" max="4" width="9.1796875" customWidth="1"/>
    <col min="5" max="5" width="11.453125" customWidth="1"/>
    <col min="6" max="6" width="27" customWidth="1"/>
    <col min="10" max="10" width="12.81640625" customWidth="1"/>
    <col min="11" max="11" width="15.453125" customWidth="1"/>
    <col min="13" max="13" width="20" customWidth="1"/>
    <col min="14" max="14" width="22.7265625" customWidth="1"/>
    <col min="15" max="15" width="14.26953125" customWidth="1"/>
    <col min="16" max="16" width="15" customWidth="1"/>
    <col min="17" max="17" width="19.90625" customWidth="1"/>
    <col min="36" max="36" width="13" bestFit="1" customWidth="1"/>
    <col min="37" max="48" width="11.453125" bestFit="1" customWidth="1"/>
  </cols>
  <sheetData>
    <row r="1" spans="1: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39.75" customHeight="1" x14ac:dyDescent="0.55000000000000004">
      <c r="A2" s="1"/>
      <c r="B2" s="1"/>
      <c r="C2" s="1"/>
      <c r="D2" s="107" t="s">
        <v>8</v>
      </c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" customHeight="1" x14ac:dyDescent="0.35">
      <c r="A3" s="1"/>
      <c r="B3" s="1"/>
      <c r="C3" s="1"/>
      <c r="D3" s="106" t="s">
        <v>9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49.5" customHeight="1" x14ac:dyDescent="0.35">
      <c r="A4" s="1"/>
      <c r="B4" s="1"/>
      <c r="C4" s="1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35">
      <c r="A5" s="1"/>
      <c r="B5" s="1"/>
      <c r="C5" s="1"/>
      <c r="D5" s="18" t="s">
        <v>0</v>
      </c>
      <c r="E5" s="139" t="s">
        <v>1</v>
      </c>
      <c r="F5" s="139"/>
      <c r="G5" s="140" t="s">
        <v>2</v>
      </c>
      <c r="H5" s="141"/>
      <c r="I5" s="141"/>
      <c r="J5" s="142"/>
      <c r="K5" s="143" t="s">
        <v>15</v>
      </c>
      <c r="L5" s="144"/>
      <c r="M5" s="140" t="s">
        <v>3</v>
      </c>
      <c r="N5" s="141"/>
      <c r="O5" s="141"/>
      <c r="P5" s="141"/>
      <c r="Q5" s="141"/>
      <c r="R5" s="141"/>
      <c r="S5" s="141"/>
      <c r="T5" s="142"/>
      <c r="U5" s="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5">
      <c r="A6" s="1"/>
      <c r="B6" s="1"/>
      <c r="C6" s="1"/>
      <c r="D6" s="113"/>
      <c r="E6" s="113"/>
      <c r="F6" s="113"/>
      <c r="G6" s="114"/>
      <c r="H6" s="115"/>
      <c r="I6" s="115"/>
      <c r="J6" s="116"/>
      <c r="K6" s="108"/>
      <c r="L6" s="108"/>
      <c r="M6" s="102" t="s">
        <v>22</v>
      </c>
      <c r="N6" s="102" t="s">
        <v>23</v>
      </c>
      <c r="O6" s="102" t="s">
        <v>16</v>
      </c>
      <c r="P6" s="102" t="s">
        <v>17</v>
      </c>
      <c r="Q6" s="102" t="s">
        <v>18</v>
      </c>
      <c r="R6" s="102" t="s">
        <v>19</v>
      </c>
      <c r="S6" s="102" t="s">
        <v>20</v>
      </c>
      <c r="T6" s="102" t="s">
        <v>21</v>
      </c>
      <c r="U6" s="1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35">
      <c r="A7" s="1"/>
      <c r="B7" s="1"/>
      <c r="C7" s="1"/>
      <c r="D7" s="113"/>
      <c r="E7" s="113"/>
      <c r="F7" s="113"/>
      <c r="G7" s="117"/>
      <c r="H7" s="118"/>
      <c r="I7" s="118"/>
      <c r="J7" s="119"/>
      <c r="K7" s="108"/>
      <c r="L7" s="108"/>
      <c r="M7" s="102"/>
      <c r="N7" s="102"/>
      <c r="O7" s="102"/>
      <c r="P7" s="102"/>
      <c r="Q7" s="102"/>
      <c r="R7" s="102"/>
      <c r="S7" s="102"/>
      <c r="T7" s="102"/>
      <c r="U7" s="1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35">
      <c r="A8" s="1"/>
      <c r="B8" s="1"/>
      <c r="C8" s="1"/>
      <c r="D8" s="128" t="s">
        <v>10</v>
      </c>
      <c r="E8" s="122" t="s">
        <v>24</v>
      </c>
      <c r="F8" s="123"/>
      <c r="G8" s="108" t="s">
        <v>28</v>
      </c>
      <c r="H8" s="108"/>
      <c r="I8" s="108"/>
      <c r="J8" s="108"/>
      <c r="K8" s="157" t="s">
        <v>25</v>
      </c>
      <c r="L8" s="157"/>
      <c r="M8" s="4"/>
      <c r="N8" s="4"/>
      <c r="O8" s="4"/>
      <c r="P8" s="4"/>
      <c r="Q8" s="4"/>
      <c r="R8" s="4"/>
      <c r="S8" s="4"/>
      <c r="T8" s="4"/>
      <c r="U8" s="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35">
      <c r="A9" s="1"/>
      <c r="B9" s="1"/>
      <c r="C9" s="1"/>
      <c r="D9" s="129"/>
      <c r="E9" s="124"/>
      <c r="F9" s="125"/>
      <c r="G9" s="108"/>
      <c r="H9" s="108"/>
      <c r="I9" s="108"/>
      <c r="J9" s="108"/>
      <c r="K9" s="156" t="s">
        <v>26</v>
      </c>
      <c r="L9" s="156"/>
      <c r="M9" s="3"/>
      <c r="N9" s="3"/>
      <c r="O9" s="3"/>
      <c r="P9" s="3"/>
      <c r="Q9" s="3"/>
      <c r="R9" s="3"/>
      <c r="S9" s="3"/>
      <c r="T9" s="3"/>
      <c r="U9" s="1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35">
      <c r="A10" s="1"/>
      <c r="B10" s="1"/>
      <c r="C10" s="1"/>
      <c r="D10" s="129"/>
      <c r="E10" s="124"/>
      <c r="F10" s="125"/>
      <c r="G10" s="108"/>
      <c r="H10" s="108"/>
      <c r="I10" s="108"/>
      <c r="J10" s="108"/>
      <c r="K10" s="157" t="s">
        <v>27</v>
      </c>
      <c r="L10" s="157"/>
      <c r="M10" s="4"/>
      <c r="N10" s="4"/>
      <c r="O10" s="4"/>
      <c r="P10" s="4"/>
      <c r="Q10" s="4"/>
      <c r="R10" s="4"/>
      <c r="S10" s="4"/>
      <c r="T10" s="4"/>
      <c r="U10" s="1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x14ac:dyDescent="0.35">
      <c r="A11" s="1"/>
      <c r="B11" s="1"/>
      <c r="C11" s="1"/>
      <c r="D11" s="129"/>
      <c r="E11" s="124"/>
      <c r="F11" s="125"/>
      <c r="G11" s="160"/>
      <c r="H11" s="160"/>
      <c r="I11" s="160"/>
      <c r="J11" s="160"/>
      <c r="K11" s="158" t="s">
        <v>7</v>
      </c>
      <c r="L11" s="159"/>
      <c r="M11" s="11"/>
      <c r="N11" s="11"/>
      <c r="O11" s="11"/>
      <c r="P11" s="11"/>
      <c r="Q11" s="11"/>
      <c r="R11" s="11"/>
      <c r="S11" s="11"/>
      <c r="T11" s="11"/>
      <c r="U11" s="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x14ac:dyDescent="0.35">
      <c r="A12" s="1"/>
      <c r="B12" s="1"/>
      <c r="C12" s="1"/>
      <c r="D12" s="129"/>
      <c r="E12" s="124"/>
      <c r="F12" s="125"/>
      <c r="G12" s="108"/>
      <c r="H12" s="108"/>
      <c r="I12" s="108"/>
      <c r="J12" s="108"/>
      <c r="K12" s="157" t="s">
        <v>25</v>
      </c>
      <c r="L12" s="157"/>
      <c r="M12" s="4"/>
      <c r="N12" s="4"/>
      <c r="O12" s="4"/>
      <c r="P12" s="4"/>
      <c r="Q12" s="4"/>
      <c r="R12" s="4"/>
      <c r="S12" s="4"/>
      <c r="T12" s="4"/>
      <c r="U12" s="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x14ac:dyDescent="0.35">
      <c r="A13" s="1"/>
      <c r="B13" s="1"/>
      <c r="C13" s="1"/>
      <c r="D13" s="129"/>
      <c r="E13" s="124"/>
      <c r="F13" s="125"/>
      <c r="G13" s="108"/>
      <c r="H13" s="108"/>
      <c r="I13" s="108"/>
      <c r="J13" s="108"/>
      <c r="K13" s="156" t="s">
        <v>26</v>
      </c>
      <c r="L13" s="156"/>
      <c r="M13" s="3"/>
      <c r="N13" s="3"/>
      <c r="O13" s="3"/>
      <c r="P13" s="3"/>
      <c r="Q13" s="3"/>
      <c r="R13" s="3"/>
      <c r="S13" s="3"/>
      <c r="T13" s="3"/>
      <c r="U13" s="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35">
      <c r="A14" s="1"/>
      <c r="B14" s="1"/>
      <c r="C14" s="1"/>
      <c r="D14" s="129"/>
      <c r="E14" s="124"/>
      <c r="F14" s="125"/>
      <c r="G14" s="108"/>
      <c r="H14" s="108"/>
      <c r="I14" s="108"/>
      <c r="J14" s="108"/>
      <c r="K14" s="157" t="s">
        <v>27</v>
      </c>
      <c r="L14" s="157"/>
      <c r="M14" s="4"/>
      <c r="N14" s="4"/>
      <c r="O14" s="4"/>
      <c r="P14" s="4"/>
      <c r="Q14" s="4"/>
      <c r="R14" s="4"/>
      <c r="S14" s="4"/>
      <c r="T14" s="4"/>
      <c r="U14" s="1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x14ac:dyDescent="0.35">
      <c r="A15" s="1"/>
      <c r="B15" s="1"/>
      <c r="C15" s="1"/>
      <c r="D15" s="129"/>
      <c r="E15" s="124"/>
      <c r="F15" s="125"/>
      <c r="G15" s="160"/>
      <c r="H15" s="160"/>
      <c r="I15" s="160"/>
      <c r="J15" s="160"/>
      <c r="K15" s="158" t="s">
        <v>7</v>
      </c>
      <c r="L15" s="159"/>
      <c r="M15" s="11"/>
      <c r="N15" s="11"/>
      <c r="O15" s="11"/>
      <c r="P15" s="11"/>
      <c r="Q15" s="11"/>
      <c r="R15" s="11"/>
      <c r="S15" s="11"/>
      <c r="T15" s="11"/>
      <c r="U15" s="1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35">
      <c r="A16" s="1"/>
      <c r="B16" s="1"/>
      <c r="C16" s="1"/>
      <c r="D16" s="129"/>
      <c r="E16" s="124"/>
      <c r="F16" s="125"/>
      <c r="G16" s="108"/>
      <c r="H16" s="108"/>
      <c r="I16" s="108"/>
      <c r="J16" s="108"/>
      <c r="K16" s="157" t="s">
        <v>25</v>
      </c>
      <c r="L16" s="157"/>
      <c r="M16" s="4"/>
      <c r="N16" s="4"/>
      <c r="O16" s="4"/>
      <c r="P16" s="4"/>
      <c r="Q16" s="4"/>
      <c r="R16" s="4"/>
      <c r="S16" s="4"/>
      <c r="T16" s="4"/>
      <c r="U16" s="1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35">
      <c r="A17" s="1"/>
      <c r="B17" s="1"/>
      <c r="C17" s="1"/>
      <c r="D17" s="129"/>
      <c r="E17" s="124"/>
      <c r="F17" s="125"/>
      <c r="G17" s="108"/>
      <c r="H17" s="108"/>
      <c r="I17" s="108"/>
      <c r="J17" s="108"/>
      <c r="K17" s="156" t="s">
        <v>26</v>
      </c>
      <c r="L17" s="156"/>
      <c r="M17" s="3"/>
      <c r="N17" s="3"/>
      <c r="O17" s="3"/>
      <c r="P17" s="3"/>
      <c r="Q17" s="3"/>
      <c r="R17" s="3"/>
      <c r="S17" s="3"/>
      <c r="T17" s="3"/>
      <c r="U17" s="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35">
      <c r="A18" s="1"/>
      <c r="B18" s="1"/>
      <c r="C18" s="1"/>
      <c r="D18" s="129"/>
      <c r="E18" s="124"/>
      <c r="F18" s="125"/>
      <c r="G18" s="108"/>
      <c r="H18" s="108"/>
      <c r="I18" s="108"/>
      <c r="J18" s="108"/>
      <c r="K18" s="157" t="s">
        <v>27</v>
      </c>
      <c r="L18" s="157"/>
      <c r="M18" s="4"/>
      <c r="N18" s="4"/>
      <c r="O18" s="4"/>
      <c r="P18" s="4"/>
      <c r="Q18" s="4"/>
      <c r="R18" s="4"/>
      <c r="S18" s="4"/>
      <c r="T18" s="4"/>
      <c r="U18" s="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x14ac:dyDescent="0.35">
      <c r="A19" s="1"/>
      <c r="B19" s="1"/>
      <c r="C19" s="1"/>
      <c r="D19" s="129"/>
      <c r="E19" s="126"/>
      <c r="F19" s="127"/>
      <c r="G19" s="160"/>
      <c r="H19" s="160"/>
      <c r="I19" s="160"/>
      <c r="J19" s="160"/>
      <c r="K19" s="158" t="s">
        <v>7</v>
      </c>
      <c r="L19" s="159"/>
      <c r="M19" s="11"/>
      <c r="N19" s="11"/>
      <c r="O19" s="11"/>
      <c r="P19" s="11"/>
      <c r="Q19" s="11"/>
      <c r="R19" s="11"/>
      <c r="S19" s="11"/>
      <c r="T19" s="11"/>
      <c r="U19" s="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x14ac:dyDescent="0.35">
      <c r="A20" s="1"/>
      <c r="B20" s="1"/>
      <c r="C20" s="1"/>
      <c r="D20" s="128" t="s">
        <v>10</v>
      </c>
      <c r="E20" s="122" t="s">
        <v>11</v>
      </c>
      <c r="F20" s="123"/>
      <c r="G20" s="108" t="s">
        <v>14</v>
      </c>
      <c r="H20" s="108"/>
      <c r="I20" s="108"/>
      <c r="J20" s="108"/>
      <c r="K20" s="157" t="s">
        <v>4</v>
      </c>
      <c r="L20" s="157"/>
      <c r="M20" s="4"/>
      <c r="N20" s="4"/>
      <c r="O20" s="4"/>
      <c r="P20" s="4"/>
      <c r="Q20" s="4"/>
      <c r="R20" s="4"/>
      <c r="S20" s="4"/>
      <c r="T20" s="4"/>
      <c r="U20" s="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35">
      <c r="A21" s="1"/>
      <c r="B21" s="1"/>
      <c r="C21" s="1"/>
      <c r="D21" s="129"/>
      <c r="E21" s="124"/>
      <c r="F21" s="125"/>
      <c r="G21" s="108"/>
      <c r="H21" s="108"/>
      <c r="I21" s="108"/>
      <c r="J21" s="108"/>
      <c r="K21" s="156" t="s">
        <v>5</v>
      </c>
      <c r="L21" s="156"/>
      <c r="M21" s="3"/>
      <c r="N21" s="3"/>
      <c r="O21" s="3"/>
      <c r="P21" s="3"/>
      <c r="Q21" s="3"/>
      <c r="R21" s="3"/>
      <c r="S21" s="3"/>
      <c r="T21" s="3"/>
      <c r="U21" s="1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x14ac:dyDescent="0.35">
      <c r="A22" s="1"/>
      <c r="B22" s="1"/>
      <c r="C22" s="1"/>
      <c r="D22" s="129"/>
      <c r="E22" s="124"/>
      <c r="F22" s="125"/>
      <c r="G22" s="108"/>
      <c r="H22" s="108"/>
      <c r="I22" s="108"/>
      <c r="J22" s="108"/>
      <c r="K22" s="157" t="s">
        <v>6</v>
      </c>
      <c r="L22" s="157"/>
      <c r="M22" s="4"/>
      <c r="N22" s="4"/>
      <c r="O22" s="4"/>
      <c r="P22" s="4"/>
      <c r="Q22" s="4"/>
      <c r="R22" s="4"/>
      <c r="S22" s="4"/>
      <c r="T22" s="4"/>
      <c r="U22" s="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35">
      <c r="A23" s="1"/>
      <c r="B23" s="1"/>
      <c r="C23" s="1"/>
      <c r="D23" s="129"/>
      <c r="E23" s="124"/>
      <c r="F23" s="125"/>
      <c r="G23" s="160"/>
      <c r="H23" s="160"/>
      <c r="I23" s="160"/>
      <c r="J23" s="160"/>
      <c r="K23" s="161" t="s">
        <v>7</v>
      </c>
      <c r="L23" s="161"/>
      <c r="M23" s="11"/>
      <c r="N23" s="11"/>
      <c r="O23" s="11"/>
      <c r="P23" s="11"/>
      <c r="Q23" s="11"/>
      <c r="R23" s="11"/>
      <c r="S23" s="11"/>
      <c r="T23" s="11"/>
      <c r="U23" s="1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x14ac:dyDescent="0.35">
      <c r="A24" s="1"/>
      <c r="B24" s="1"/>
      <c r="C24" s="1"/>
      <c r="D24" s="129"/>
      <c r="E24" s="122" t="s">
        <v>12</v>
      </c>
      <c r="F24" s="123"/>
      <c r="G24" s="108"/>
      <c r="H24" s="108"/>
      <c r="I24" s="108"/>
      <c r="J24" s="108"/>
      <c r="K24" s="157" t="s">
        <v>4</v>
      </c>
      <c r="L24" s="157"/>
      <c r="M24" s="4"/>
      <c r="N24" s="4"/>
      <c r="O24" s="4"/>
      <c r="P24" s="4"/>
      <c r="Q24" s="4"/>
      <c r="R24" s="4"/>
      <c r="S24" s="4"/>
      <c r="T24" s="4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x14ac:dyDescent="0.35">
      <c r="A25" s="1"/>
      <c r="B25" s="1"/>
      <c r="C25" s="1"/>
      <c r="D25" s="129"/>
      <c r="E25" s="124"/>
      <c r="F25" s="125"/>
      <c r="G25" s="108"/>
      <c r="H25" s="108"/>
      <c r="I25" s="108"/>
      <c r="J25" s="108"/>
      <c r="K25" s="156" t="s">
        <v>5</v>
      </c>
      <c r="L25" s="156"/>
      <c r="M25" s="3"/>
      <c r="N25" s="3"/>
      <c r="O25" s="3"/>
      <c r="P25" s="3"/>
      <c r="Q25" s="3"/>
      <c r="R25" s="3"/>
      <c r="S25" s="3"/>
      <c r="T25" s="3"/>
      <c r="U25" s="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x14ac:dyDescent="0.35">
      <c r="A26" s="1"/>
      <c r="B26" s="1"/>
      <c r="C26" s="1"/>
      <c r="D26" s="129"/>
      <c r="E26" s="124"/>
      <c r="F26" s="125"/>
      <c r="G26" s="108"/>
      <c r="H26" s="108"/>
      <c r="I26" s="108"/>
      <c r="J26" s="108"/>
      <c r="K26" s="157" t="s">
        <v>6</v>
      </c>
      <c r="L26" s="157"/>
      <c r="M26" s="4"/>
      <c r="N26" s="4"/>
      <c r="O26" s="4"/>
      <c r="P26" s="4"/>
      <c r="Q26" s="4"/>
      <c r="R26" s="4"/>
      <c r="S26" s="4"/>
      <c r="T26" s="4"/>
      <c r="U26" s="1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x14ac:dyDescent="0.35">
      <c r="A27" s="1"/>
      <c r="B27" s="1"/>
      <c r="C27" s="1"/>
      <c r="D27" s="129"/>
      <c r="E27" s="124"/>
      <c r="F27" s="125"/>
      <c r="G27" s="160"/>
      <c r="H27" s="160"/>
      <c r="I27" s="160"/>
      <c r="J27" s="160"/>
      <c r="K27" s="161" t="s">
        <v>7</v>
      </c>
      <c r="L27" s="161"/>
      <c r="M27" s="11"/>
      <c r="N27" s="11"/>
      <c r="O27" s="11"/>
      <c r="P27" s="11"/>
      <c r="Q27" s="11"/>
      <c r="R27" s="11"/>
      <c r="S27" s="11"/>
      <c r="T27" s="11"/>
      <c r="U27" s="1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x14ac:dyDescent="0.35">
      <c r="A28" s="1"/>
      <c r="B28" s="1"/>
      <c r="C28" s="1"/>
      <c r="D28" s="129"/>
      <c r="E28" s="122" t="s">
        <v>13</v>
      </c>
      <c r="F28" s="123"/>
      <c r="G28" s="108"/>
      <c r="H28" s="108"/>
      <c r="I28" s="108"/>
      <c r="J28" s="108"/>
      <c r="K28" s="157" t="s">
        <v>4</v>
      </c>
      <c r="L28" s="157"/>
      <c r="M28" s="4"/>
      <c r="N28" s="4"/>
      <c r="O28" s="4"/>
      <c r="P28" s="4"/>
      <c r="Q28" s="4"/>
      <c r="R28" s="4"/>
      <c r="S28" s="4"/>
      <c r="T28" s="4"/>
      <c r="U28" s="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35">
      <c r="A29" s="1"/>
      <c r="B29" s="1"/>
      <c r="C29" s="1"/>
      <c r="D29" s="129"/>
      <c r="E29" s="124"/>
      <c r="F29" s="125"/>
      <c r="G29" s="108"/>
      <c r="H29" s="108"/>
      <c r="I29" s="108"/>
      <c r="J29" s="108"/>
      <c r="K29" s="156" t="s">
        <v>5</v>
      </c>
      <c r="L29" s="156"/>
      <c r="M29" s="3"/>
      <c r="N29" s="3"/>
      <c r="O29" s="3"/>
      <c r="P29" s="3"/>
      <c r="Q29" s="3"/>
      <c r="R29" s="3"/>
      <c r="S29" s="3"/>
      <c r="T29" s="3"/>
      <c r="U29" s="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x14ac:dyDescent="0.35">
      <c r="A30" s="1"/>
      <c r="B30" s="1"/>
      <c r="C30" s="1"/>
      <c r="D30" s="129"/>
      <c r="E30" s="124"/>
      <c r="F30" s="125"/>
      <c r="G30" s="108"/>
      <c r="H30" s="108"/>
      <c r="I30" s="108"/>
      <c r="J30" s="108"/>
      <c r="K30" s="157" t="s">
        <v>6</v>
      </c>
      <c r="L30" s="157"/>
      <c r="M30" s="4"/>
      <c r="N30" s="4"/>
      <c r="O30" s="4"/>
      <c r="P30" s="4"/>
      <c r="Q30" s="4"/>
      <c r="R30" s="4"/>
      <c r="S30" s="4"/>
      <c r="T30" s="4"/>
      <c r="U30" s="1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x14ac:dyDescent="0.35">
      <c r="A31" s="1"/>
      <c r="B31" s="1"/>
      <c r="C31" s="1"/>
      <c r="D31" s="129"/>
      <c r="E31" s="124"/>
      <c r="F31" s="125"/>
      <c r="G31" s="160"/>
      <c r="H31" s="160"/>
      <c r="I31" s="160"/>
      <c r="J31" s="160"/>
      <c r="K31" s="161" t="s">
        <v>7</v>
      </c>
      <c r="L31" s="161"/>
      <c r="M31" s="11"/>
      <c r="N31" s="11"/>
      <c r="O31" s="11"/>
      <c r="P31" s="11"/>
      <c r="Q31" s="11"/>
      <c r="R31" s="11"/>
      <c r="S31" s="11"/>
      <c r="T31" s="11"/>
      <c r="U31" s="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x14ac:dyDescent="0.35">
      <c r="A32" s="1"/>
      <c r="B32" s="1"/>
      <c r="C32" s="1"/>
      <c r="D32" s="12"/>
      <c r="E32" s="12"/>
      <c r="F32" s="12"/>
      <c r="G32" s="12"/>
      <c r="H32" s="12"/>
      <c r="I32" s="12"/>
      <c r="J32" s="12"/>
      <c r="K32" s="13"/>
      <c r="L32" s="13"/>
      <c r="M32" s="14"/>
      <c r="N32" s="14"/>
      <c r="O32" s="14"/>
      <c r="P32" s="14"/>
      <c r="Q32" s="14"/>
      <c r="R32" s="14"/>
      <c r="S32" s="14"/>
      <c r="T32" s="14"/>
      <c r="U32" s="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35">
      <c r="A33" s="1"/>
      <c r="B33" s="1"/>
      <c r="C33" s="1"/>
      <c r="D33" s="12"/>
      <c r="E33" s="12"/>
      <c r="F33" s="12"/>
      <c r="G33" s="12"/>
      <c r="H33" s="12"/>
      <c r="I33" s="12"/>
      <c r="J33" s="12"/>
      <c r="K33" s="13"/>
      <c r="L33" s="13"/>
      <c r="M33" s="14"/>
      <c r="N33" s="14"/>
      <c r="O33" s="14"/>
      <c r="P33" s="14"/>
      <c r="Q33" s="14"/>
      <c r="R33" s="14"/>
      <c r="S33" s="14"/>
      <c r="T33" s="14"/>
      <c r="U33" s="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35">
      <c r="A34" s="1"/>
      <c r="B34" s="1"/>
      <c r="C34" s="1"/>
      <c r="D34" s="12"/>
      <c r="E34" s="12"/>
      <c r="F34" s="12"/>
      <c r="G34" s="12"/>
      <c r="H34" s="12"/>
      <c r="I34" s="12"/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35">
      <c r="A35" s="1"/>
      <c r="B35" s="1"/>
      <c r="C35" s="1"/>
      <c r="D35" s="12"/>
      <c r="E35" s="12"/>
      <c r="F35" s="12"/>
      <c r="G35" s="12"/>
      <c r="H35" s="12"/>
      <c r="I35" s="12"/>
      <c r="J35" s="12"/>
      <c r="K35" s="13"/>
      <c r="L35" s="13"/>
      <c r="M35" s="14"/>
      <c r="N35" s="14"/>
      <c r="O35" s="14"/>
      <c r="P35" s="14"/>
      <c r="Q35" s="14"/>
      <c r="R35" s="14"/>
      <c r="S35" s="14"/>
      <c r="T35" s="14"/>
      <c r="U35" s="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x14ac:dyDescent="0.35">
      <c r="A36" s="1"/>
      <c r="B36" s="1"/>
      <c r="C36" s="1"/>
      <c r="D36" s="12"/>
      <c r="E36" s="12"/>
      <c r="F36" s="12"/>
      <c r="G36" s="12"/>
      <c r="H36" s="12"/>
      <c r="I36" s="12"/>
      <c r="J36" s="12"/>
      <c r="K36" s="13"/>
      <c r="L36" s="13"/>
      <c r="M36" s="15"/>
      <c r="N36" s="15"/>
      <c r="O36" s="15"/>
      <c r="P36" s="15"/>
      <c r="Q36" s="15"/>
      <c r="R36" s="15"/>
      <c r="S36" s="15"/>
      <c r="T36" s="15"/>
      <c r="U36" s="1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x14ac:dyDescent="0.35">
      <c r="A37" s="1"/>
      <c r="B37" s="1"/>
      <c r="C37" s="1"/>
      <c r="D37" s="12"/>
      <c r="E37" s="12"/>
      <c r="F37" s="12"/>
      <c r="G37" s="12"/>
      <c r="H37" s="12"/>
      <c r="I37" s="12"/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x14ac:dyDescent="0.35">
      <c r="A38" s="1"/>
      <c r="B38" s="1"/>
      <c r="C38" s="1"/>
      <c r="D38" s="12"/>
      <c r="E38" s="12"/>
      <c r="F38" s="12"/>
      <c r="G38" s="12"/>
      <c r="H38" s="12"/>
      <c r="I38" s="12"/>
      <c r="J38" s="12"/>
      <c r="K38" s="13"/>
      <c r="L38" s="13"/>
      <c r="M38" s="16"/>
      <c r="N38" s="16"/>
      <c r="O38" s="16"/>
      <c r="P38" s="16"/>
      <c r="Q38" s="16"/>
      <c r="R38" s="16"/>
      <c r="S38" s="16"/>
      <c r="T38" s="16"/>
      <c r="U38" s="1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x14ac:dyDescent="0.35">
      <c r="A39" s="1"/>
      <c r="B39" s="1"/>
      <c r="C39" s="1"/>
      <c r="D39" s="12"/>
      <c r="E39" s="12"/>
      <c r="F39" s="12"/>
      <c r="G39" s="12"/>
      <c r="H39" s="12"/>
      <c r="I39" s="12"/>
      <c r="J39" s="12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x14ac:dyDescent="0.35">
      <c r="A40" s="1"/>
      <c r="B40" s="1"/>
      <c r="C40" s="1"/>
      <c r="D40" s="12"/>
      <c r="E40" s="12"/>
      <c r="F40" s="12"/>
      <c r="G40" s="12"/>
      <c r="H40" s="12"/>
      <c r="I40" s="12"/>
      <c r="J40" s="12"/>
      <c r="K40" s="13"/>
      <c r="L40" s="13"/>
      <c r="M40" s="16"/>
      <c r="N40" s="16"/>
      <c r="O40" s="16"/>
      <c r="P40" s="16"/>
      <c r="Q40" s="16"/>
      <c r="R40" s="16"/>
      <c r="S40" s="16"/>
      <c r="T40" s="16"/>
      <c r="U40" s="1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x14ac:dyDescent="0.35">
      <c r="A41" s="1"/>
      <c r="B41" s="1"/>
      <c r="C41" s="1"/>
      <c r="D41" s="12"/>
      <c r="E41" s="12"/>
      <c r="F41" s="12"/>
      <c r="G41" s="12"/>
      <c r="H41" s="12"/>
      <c r="I41" s="12"/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x14ac:dyDescent="0.35">
      <c r="A42" s="1"/>
      <c r="B42" s="1"/>
      <c r="C42" s="1"/>
      <c r="D42" s="12"/>
      <c r="E42" s="12"/>
      <c r="F42" s="12"/>
      <c r="G42" s="12"/>
      <c r="H42" s="12"/>
      <c r="I42" s="12"/>
      <c r="J42" s="12"/>
      <c r="K42" s="13"/>
      <c r="L42" s="13"/>
      <c r="M42" s="16"/>
      <c r="N42" s="16"/>
      <c r="O42" s="16"/>
      <c r="P42" s="16"/>
      <c r="Q42" s="16"/>
      <c r="R42" s="16"/>
      <c r="S42" s="16"/>
      <c r="T42" s="16"/>
      <c r="U42" s="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35">
      <c r="A43" s="1"/>
      <c r="B43" s="1"/>
      <c r="C43" s="1"/>
      <c r="D43" s="12"/>
      <c r="E43" s="12"/>
      <c r="F43" s="12"/>
      <c r="G43" s="12"/>
      <c r="H43" s="12"/>
      <c r="I43" s="12"/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x14ac:dyDescent="0.35">
      <c r="A44" s="1"/>
      <c r="B44" s="1"/>
      <c r="C44" s="1"/>
      <c r="D44" s="12"/>
      <c r="E44" s="12"/>
      <c r="F44" s="12"/>
      <c r="G44" s="12"/>
      <c r="H44" s="12"/>
      <c r="I44" s="12"/>
      <c r="J44" s="12"/>
      <c r="K44" s="13"/>
      <c r="L44" s="13"/>
      <c r="M44" s="16"/>
      <c r="N44" s="16"/>
      <c r="O44" s="16"/>
      <c r="P44" s="16"/>
      <c r="Q44" s="16"/>
      <c r="R44" s="16"/>
      <c r="S44" s="16"/>
      <c r="T44" s="16"/>
      <c r="U44" s="1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35">
      <c r="A45" s="1"/>
      <c r="B45" s="1"/>
      <c r="C45" s="1"/>
      <c r="D45" s="12"/>
      <c r="E45" s="12"/>
      <c r="F45" s="12"/>
      <c r="G45" s="12"/>
      <c r="H45" s="12"/>
      <c r="I45" s="12"/>
      <c r="J45" s="12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x14ac:dyDescent="0.35">
      <c r="A46" s="1"/>
      <c r="B46" s="1"/>
      <c r="C46" s="1"/>
      <c r="D46" s="12"/>
      <c r="E46" s="12"/>
      <c r="F46" s="12"/>
      <c r="G46" s="12"/>
      <c r="H46" s="12"/>
      <c r="I46" s="12"/>
      <c r="J46" s="12"/>
      <c r="K46" s="13"/>
      <c r="L46" s="13"/>
      <c r="M46" s="16"/>
      <c r="N46" s="16"/>
      <c r="O46" s="16"/>
      <c r="P46" s="16"/>
      <c r="Q46" s="16"/>
      <c r="R46" s="16"/>
      <c r="S46" s="16"/>
      <c r="T46" s="16"/>
      <c r="U46" s="1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x14ac:dyDescent="0.35">
      <c r="A47" s="1"/>
      <c r="B47" s="1"/>
      <c r="C47" s="1"/>
      <c r="D47" s="12"/>
      <c r="E47" s="12"/>
      <c r="F47" s="12"/>
      <c r="G47" s="12"/>
      <c r="H47" s="12"/>
      <c r="I47" s="12"/>
      <c r="J47" s="1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x14ac:dyDescent="0.35">
      <c r="A48" s="1"/>
      <c r="B48" s="1"/>
      <c r="C48" s="1"/>
      <c r="D48" s="12"/>
      <c r="E48" s="12"/>
      <c r="F48" s="12"/>
      <c r="G48" s="17"/>
      <c r="H48" s="17"/>
      <c r="I48" s="17"/>
      <c r="J48" s="17"/>
      <c r="K48" s="13"/>
      <c r="L48" s="13"/>
      <c r="M48" s="15"/>
      <c r="N48" s="15"/>
      <c r="O48" s="15"/>
      <c r="P48" s="15"/>
      <c r="Q48" s="15"/>
      <c r="R48" s="15"/>
      <c r="S48" s="15"/>
      <c r="T48" s="15"/>
      <c r="U48" s="1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x14ac:dyDescent="0.35">
      <c r="A49" s="1"/>
      <c r="B49" s="1"/>
      <c r="C49" s="1"/>
      <c r="D49" s="12"/>
      <c r="E49" s="12"/>
      <c r="F49" s="12"/>
      <c r="G49" s="17"/>
      <c r="H49" s="17"/>
      <c r="I49" s="17"/>
      <c r="J49" s="17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x14ac:dyDescent="0.35">
      <c r="A50" s="1"/>
      <c r="B50" s="1"/>
      <c r="C50" s="1"/>
      <c r="D50" s="12"/>
      <c r="E50" s="12"/>
      <c r="F50" s="12"/>
      <c r="G50" s="17"/>
      <c r="H50" s="17"/>
      <c r="I50" s="17"/>
      <c r="J50" s="17"/>
      <c r="K50" s="13"/>
      <c r="L50" s="13"/>
      <c r="M50" s="15"/>
      <c r="N50" s="15"/>
      <c r="O50" s="15"/>
      <c r="P50" s="14"/>
      <c r="Q50" s="15"/>
      <c r="R50" s="15"/>
      <c r="S50" s="15"/>
      <c r="T50" s="15"/>
      <c r="U50" s="1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x14ac:dyDescent="0.35">
      <c r="A51" s="1"/>
      <c r="B51" s="1"/>
      <c r="C51" s="1"/>
      <c r="D51" s="12"/>
      <c r="E51" s="12"/>
      <c r="F51" s="12"/>
      <c r="G51" s="17"/>
      <c r="H51" s="17"/>
      <c r="I51" s="17"/>
      <c r="J51" s="17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x14ac:dyDescent="0.35">
      <c r="A52" s="1"/>
      <c r="B52" s="1"/>
      <c r="C52" s="1"/>
      <c r="D52" s="12"/>
      <c r="E52" s="12"/>
      <c r="F52" s="12"/>
      <c r="G52" s="17"/>
      <c r="H52" s="17"/>
      <c r="I52" s="17"/>
      <c r="J52" s="17"/>
      <c r="K52" s="13"/>
      <c r="L52" s="13"/>
      <c r="M52" s="15"/>
      <c r="N52" s="15"/>
      <c r="O52" s="15"/>
      <c r="P52" s="15"/>
      <c r="Q52" s="15"/>
      <c r="R52" s="15"/>
      <c r="S52" s="15"/>
      <c r="T52" s="15"/>
      <c r="U52" s="1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x14ac:dyDescent="0.35">
      <c r="A53" s="1"/>
      <c r="B53" s="1"/>
      <c r="C53" s="1"/>
      <c r="D53" s="12"/>
      <c r="E53" s="12"/>
      <c r="F53" s="12"/>
      <c r="G53" s="17"/>
      <c r="H53" s="17"/>
      <c r="I53" s="17"/>
      <c r="J53" s="17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35">
      <c r="A54" s="1"/>
      <c r="B54" s="1"/>
      <c r="C54" s="1"/>
      <c r="D54" s="12"/>
      <c r="E54" s="12"/>
      <c r="F54" s="12"/>
      <c r="G54" s="17"/>
      <c r="H54" s="17"/>
      <c r="I54" s="17"/>
      <c r="J54" s="17"/>
      <c r="K54" s="13"/>
      <c r="L54" s="13"/>
      <c r="M54" s="15"/>
      <c r="N54" s="15"/>
      <c r="O54" s="15"/>
      <c r="P54" s="15"/>
      <c r="Q54" s="15"/>
      <c r="R54" s="15"/>
      <c r="S54" s="15"/>
      <c r="T54" s="15"/>
      <c r="U54" s="1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x14ac:dyDescent="0.35">
      <c r="A55" s="1"/>
      <c r="B55" s="1"/>
      <c r="C55" s="1"/>
      <c r="D55" s="12"/>
      <c r="E55" s="12"/>
      <c r="F55" s="12"/>
      <c r="G55" s="17"/>
      <c r="H55" s="17"/>
      <c r="I55" s="17"/>
      <c r="J55" s="17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x14ac:dyDescent="0.35">
      <c r="A56" s="1"/>
      <c r="B56" s="1"/>
      <c r="C56" s="1"/>
      <c r="D56" s="12"/>
      <c r="E56" s="12"/>
      <c r="F56" s="12"/>
      <c r="G56" s="17"/>
      <c r="H56" s="17"/>
      <c r="I56" s="17"/>
      <c r="J56" s="17"/>
      <c r="K56" s="13"/>
      <c r="L56" s="13"/>
      <c r="M56" s="15"/>
      <c r="N56" s="15"/>
      <c r="O56" s="15"/>
      <c r="P56" s="15"/>
      <c r="Q56" s="15"/>
      <c r="R56" s="15"/>
      <c r="S56" s="15"/>
      <c r="T56" s="15"/>
      <c r="U56" s="1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x14ac:dyDescent="0.35">
      <c r="A57" s="1"/>
      <c r="B57" s="1"/>
      <c r="C57" s="1"/>
      <c r="D57" s="12"/>
      <c r="E57" s="12"/>
      <c r="F57" s="12"/>
      <c r="G57" s="17"/>
      <c r="H57" s="17"/>
      <c r="I57" s="17"/>
      <c r="J57" s="17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x14ac:dyDescent="0.35">
      <c r="A58" s="1"/>
      <c r="B58" s="1"/>
      <c r="C58" s="1"/>
      <c r="D58" s="12"/>
      <c r="E58" s="12"/>
      <c r="F58" s="12"/>
      <c r="G58" s="17"/>
      <c r="H58" s="17"/>
      <c r="I58" s="17"/>
      <c r="J58" s="17"/>
      <c r="K58" s="13"/>
      <c r="L58" s="13"/>
      <c r="M58" s="15"/>
      <c r="N58" s="15"/>
      <c r="O58" s="15"/>
      <c r="P58" s="15"/>
      <c r="Q58" s="15"/>
      <c r="R58" s="14"/>
      <c r="S58" s="15"/>
      <c r="T58" s="15"/>
      <c r="U58" s="1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x14ac:dyDescent="0.35">
      <c r="A59" s="1"/>
      <c r="B59" s="1"/>
      <c r="C59" s="1"/>
      <c r="D59" s="12"/>
      <c r="E59" s="12"/>
      <c r="F59" s="12"/>
      <c r="G59" s="17"/>
      <c r="H59" s="17"/>
      <c r="I59" s="17"/>
      <c r="J59" s="17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x14ac:dyDescent="0.35">
      <c r="A60" s="1"/>
      <c r="B60" s="1"/>
      <c r="C60" s="1"/>
      <c r="D60" s="12"/>
      <c r="E60" s="12"/>
      <c r="F60" s="12"/>
      <c r="G60" s="17"/>
      <c r="H60" s="17"/>
      <c r="I60" s="17"/>
      <c r="J60" s="17"/>
      <c r="K60" s="13"/>
      <c r="L60" s="13"/>
      <c r="M60" s="15"/>
      <c r="N60" s="15"/>
      <c r="O60" s="15"/>
      <c r="P60" s="15"/>
      <c r="Q60" s="15"/>
      <c r="R60" s="15"/>
      <c r="S60" s="15"/>
      <c r="T60" s="15"/>
      <c r="U60" s="1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x14ac:dyDescent="0.35">
      <c r="A61" s="1"/>
      <c r="B61" s="1"/>
      <c r="C61" s="1"/>
      <c r="D61" s="12"/>
      <c r="E61" s="12"/>
      <c r="F61" s="12"/>
      <c r="G61" s="17"/>
      <c r="H61" s="17"/>
      <c r="I61" s="17"/>
      <c r="J61" s="17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x14ac:dyDescent="0.35">
      <c r="A62" s="1"/>
      <c r="B62" s="1"/>
      <c r="C62" s="1"/>
      <c r="D62" s="12"/>
      <c r="E62" s="12"/>
      <c r="F62" s="12"/>
      <c r="G62" s="17"/>
      <c r="H62" s="17"/>
      <c r="I62" s="17"/>
      <c r="J62" s="17"/>
      <c r="K62" s="13"/>
      <c r="L62" s="13"/>
      <c r="M62" s="15"/>
      <c r="N62" s="15"/>
      <c r="O62" s="15"/>
      <c r="P62" s="15"/>
      <c r="Q62" s="15"/>
      <c r="R62" s="15"/>
      <c r="S62" s="15"/>
      <c r="T62" s="15"/>
      <c r="U62" s="1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x14ac:dyDescent="0.35">
      <c r="A63" s="1"/>
      <c r="B63" s="1"/>
      <c r="C63" s="1"/>
      <c r="D63" s="12"/>
      <c r="E63" s="12"/>
      <c r="F63" s="12"/>
      <c r="G63" s="17"/>
      <c r="H63" s="17"/>
      <c r="I63" s="17"/>
      <c r="J63" s="17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x14ac:dyDescent="0.35">
      <c r="A64" s="1"/>
      <c r="B64" s="1"/>
      <c r="C64" s="1"/>
      <c r="D64" s="12"/>
      <c r="E64" s="12"/>
      <c r="F64" s="12"/>
      <c r="G64" s="17"/>
      <c r="H64" s="17"/>
      <c r="I64" s="17"/>
      <c r="J64" s="17"/>
      <c r="K64" s="13"/>
      <c r="L64" s="13"/>
      <c r="M64" s="15"/>
      <c r="N64" s="15"/>
      <c r="O64" s="15"/>
      <c r="P64" s="15"/>
      <c r="Q64" s="15"/>
      <c r="R64" s="15"/>
      <c r="S64" s="15"/>
      <c r="T64" s="15"/>
      <c r="U64" s="1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48" x14ac:dyDescent="0.35">
      <c r="A65" s="1"/>
      <c r="B65" s="1"/>
      <c r="C65" s="1"/>
      <c r="D65" s="12"/>
      <c r="E65" s="12"/>
      <c r="F65" s="12"/>
      <c r="G65" s="17"/>
      <c r="H65" s="17"/>
      <c r="I65" s="17"/>
      <c r="J65" s="17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48" x14ac:dyDescent="0.35">
      <c r="A66" s="1"/>
      <c r="B66" s="1"/>
      <c r="C66" s="1"/>
      <c r="D66" s="12"/>
      <c r="E66" s="12"/>
      <c r="F66" s="12"/>
      <c r="G66" s="12"/>
      <c r="H66" s="12"/>
      <c r="I66" s="12"/>
      <c r="J66" s="12"/>
      <c r="K66" s="13"/>
      <c r="L66" s="13"/>
      <c r="M66" s="15"/>
      <c r="N66" s="15"/>
      <c r="O66" s="15"/>
      <c r="P66" s="15"/>
      <c r="Q66" s="15"/>
      <c r="R66" s="15"/>
      <c r="S66" s="15"/>
      <c r="T66" s="15"/>
      <c r="U66" s="1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48" x14ac:dyDescent="0.35">
      <c r="A67" s="1"/>
      <c r="B67" s="1"/>
      <c r="C67" s="1"/>
      <c r="D67" s="12"/>
      <c r="E67" s="12"/>
      <c r="F67" s="12"/>
      <c r="G67" s="12"/>
      <c r="H67" s="12"/>
      <c r="I67" s="12"/>
      <c r="J67" s="12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48" x14ac:dyDescent="0.35">
      <c r="A68" s="1"/>
      <c r="B68" s="1"/>
      <c r="C68" s="1"/>
      <c r="D68" s="12"/>
      <c r="E68" s="12"/>
      <c r="F68" s="12"/>
      <c r="G68" s="12"/>
      <c r="H68" s="12"/>
      <c r="I68" s="12"/>
      <c r="J68" s="12"/>
      <c r="K68" s="13"/>
      <c r="L68" s="13"/>
      <c r="M68" s="15"/>
      <c r="N68" s="15"/>
      <c r="O68" s="15"/>
      <c r="P68" s="15"/>
      <c r="Q68" s="15"/>
      <c r="R68" s="15"/>
      <c r="S68" s="15"/>
      <c r="T68" s="15"/>
      <c r="U68" s="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48" x14ac:dyDescent="0.35">
      <c r="A69" s="1"/>
      <c r="B69" s="1"/>
      <c r="C69" s="1"/>
      <c r="D69" s="12"/>
      <c r="E69" s="12"/>
      <c r="F69" s="12"/>
      <c r="G69" s="12"/>
      <c r="H69" s="12"/>
      <c r="I69" s="12"/>
      <c r="J69" s="1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48" x14ac:dyDescent="0.35">
      <c r="A70" s="1"/>
      <c r="B70" s="1"/>
      <c r="C70" s="1"/>
      <c r="D70" s="12"/>
      <c r="E70" s="12"/>
      <c r="F70" s="12"/>
      <c r="G70" s="12"/>
      <c r="H70" s="12"/>
      <c r="I70" s="12"/>
      <c r="J70" s="12"/>
      <c r="K70" s="13"/>
      <c r="L70" s="13"/>
      <c r="M70" s="15"/>
      <c r="N70" s="15"/>
      <c r="O70" s="15"/>
      <c r="P70" s="15"/>
      <c r="Q70" s="15"/>
      <c r="R70" s="15"/>
      <c r="S70" s="15"/>
      <c r="T70" s="15"/>
      <c r="U70" s="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I70" t="s">
        <v>76</v>
      </c>
      <c r="AJ70" s="48">
        <v>0.44004261150000001</v>
      </c>
      <c r="AK70" s="48">
        <v>0.43571202139999998</v>
      </c>
      <c r="AL70" s="48">
        <v>0.46040124700000001</v>
      </c>
      <c r="AM70" s="48">
        <v>0.53213886960000001</v>
      </c>
      <c r="AN70" s="48">
        <v>0.47986962239999997</v>
      </c>
      <c r="AO70" s="48">
        <v>0.6442783487</v>
      </c>
      <c r="AP70" s="48">
        <v>0.46299602519999999</v>
      </c>
      <c r="AQ70" s="48">
        <v>0.36377334979999998</v>
      </c>
      <c r="AR70" s="48">
        <v>0.37341024769999998</v>
      </c>
      <c r="AS70" s="48">
        <v>0.3304778183</v>
      </c>
      <c r="AT70" s="48">
        <v>0.5755774495</v>
      </c>
      <c r="AU70" s="48">
        <v>0.5436506351</v>
      </c>
    </row>
    <row r="71" spans="1:48" x14ac:dyDescent="0.35">
      <c r="A71" s="1"/>
      <c r="B71" s="1"/>
      <c r="C71" s="1"/>
      <c r="D71" s="12"/>
      <c r="E71" s="12"/>
      <c r="F71" s="12"/>
      <c r="G71" s="12"/>
      <c r="H71" s="12"/>
      <c r="I71" s="12"/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I71" t="s">
        <v>77</v>
      </c>
      <c r="AJ71" s="48">
        <v>0.27848992810000001</v>
      </c>
      <c r="AK71" s="48">
        <v>0.37183397730000001</v>
      </c>
      <c r="AL71" s="48">
        <v>0.3655711109</v>
      </c>
      <c r="AM71" s="48">
        <v>0.31626747550000001</v>
      </c>
      <c r="AN71" s="48">
        <v>0.30597651580000002</v>
      </c>
      <c r="AO71" s="48">
        <v>0.39195058059999999</v>
      </c>
      <c r="AP71" s="48">
        <v>0.33946456590000001</v>
      </c>
      <c r="AQ71" s="48">
        <v>0.22752228360000001</v>
      </c>
      <c r="AR71" s="48">
        <v>0.2052500156</v>
      </c>
      <c r="AS71" s="48">
        <v>0.24588950039999999</v>
      </c>
      <c r="AT71" s="48">
        <v>0.34560357549999998</v>
      </c>
      <c r="AU71" s="48">
        <v>0.41933765480000001</v>
      </c>
    </row>
    <row r="72" spans="1:48" x14ac:dyDescent="0.35">
      <c r="A72" s="1"/>
      <c r="B72" s="1"/>
      <c r="C72" s="1"/>
      <c r="D72" s="12"/>
      <c r="E72" s="12"/>
      <c r="F72" s="12"/>
      <c r="G72" s="17"/>
      <c r="H72" s="17"/>
      <c r="I72" s="17"/>
      <c r="J72" s="17"/>
      <c r="K72" s="13"/>
      <c r="L72" s="13"/>
      <c r="M72" s="15"/>
      <c r="N72" s="15"/>
      <c r="O72" s="15"/>
      <c r="P72" s="15"/>
      <c r="Q72" s="15"/>
      <c r="R72" s="15"/>
      <c r="S72" s="15"/>
      <c r="T72" s="15"/>
      <c r="U72" s="1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I72" t="s">
        <v>78</v>
      </c>
      <c r="AJ72" s="48">
        <v>0.35629395409999998</v>
      </c>
      <c r="AK72" s="48">
        <v>0.37356021579999998</v>
      </c>
      <c r="AL72" s="48">
        <v>0.3785008164</v>
      </c>
      <c r="AM72" s="48">
        <v>0.34854030180000001</v>
      </c>
      <c r="AN72" s="48">
        <v>0.27089281329999998</v>
      </c>
      <c r="AO72" s="48">
        <v>0.40484943249999999</v>
      </c>
      <c r="AP72" s="48">
        <v>0.3634858681</v>
      </c>
      <c r="AQ72" s="48">
        <v>8.6605392500000003E-2</v>
      </c>
      <c r="AR72" s="48">
        <v>0.16346955890000001</v>
      </c>
      <c r="AS72" s="48">
        <v>0.1885504033</v>
      </c>
      <c r="AT72" s="48">
        <v>0.35602354899999999</v>
      </c>
      <c r="AU72" s="48">
        <v>0.32958172959999998</v>
      </c>
    </row>
    <row r="73" spans="1:48" x14ac:dyDescent="0.35">
      <c r="A73" s="1"/>
      <c r="B73" s="1"/>
      <c r="C73" s="1"/>
      <c r="D73" s="12"/>
      <c r="E73" s="12"/>
      <c r="F73" s="12"/>
      <c r="G73" s="17"/>
      <c r="H73" s="17"/>
      <c r="I73" s="17"/>
      <c r="J73" s="17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I73" t="s">
        <v>80</v>
      </c>
      <c r="AJ73" s="48">
        <v>0.27848992810000001</v>
      </c>
      <c r="AK73" s="48">
        <v>0.37183397730000001</v>
      </c>
      <c r="AL73" s="48">
        <v>0.3655711109</v>
      </c>
      <c r="AM73" s="48">
        <v>0.31626747550000001</v>
      </c>
      <c r="AN73" s="48">
        <v>0.30597651580000002</v>
      </c>
      <c r="AO73" s="48">
        <v>0.39195058059999999</v>
      </c>
      <c r="AP73" s="48">
        <v>0.33946456590000001</v>
      </c>
      <c r="AQ73" s="48">
        <v>0.22752228360000001</v>
      </c>
      <c r="AR73" s="48">
        <v>0.2052500156</v>
      </c>
      <c r="AS73" s="48">
        <v>0.24588950039999999</v>
      </c>
      <c r="AT73" s="48">
        <v>0.34560357549999998</v>
      </c>
      <c r="AU73" s="48">
        <v>0.41933765480000001</v>
      </c>
    </row>
    <row r="74" spans="1:48" x14ac:dyDescent="0.35">
      <c r="A74" s="1"/>
      <c r="B74" s="1"/>
      <c r="C74" s="1"/>
      <c r="D74" s="12"/>
      <c r="E74" s="12"/>
      <c r="F74" s="12"/>
      <c r="G74" s="17"/>
      <c r="H74" s="17"/>
      <c r="I74" s="17"/>
      <c r="J74" s="17"/>
      <c r="K74" s="13"/>
      <c r="L74" s="13"/>
      <c r="M74" s="15"/>
      <c r="N74" s="15"/>
      <c r="O74" s="15"/>
      <c r="P74" s="14"/>
      <c r="Q74" s="15"/>
      <c r="R74" s="15"/>
      <c r="S74" s="15"/>
      <c r="T74" s="15"/>
      <c r="U74" s="1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I74" t="s">
        <v>79</v>
      </c>
      <c r="AJ74" s="48">
        <v>0.38092051900000001</v>
      </c>
      <c r="AK74" s="48">
        <v>0.39479558440000001</v>
      </c>
      <c r="AL74" s="48">
        <v>0.39226262820000002</v>
      </c>
      <c r="AM74" s="48">
        <v>0.4011815789</v>
      </c>
      <c r="AN74" s="48">
        <v>0.42144019440000002</v>
      </c>
      <c r="AO74" s="48">
        <v>0.54805317850000002</v>
      </c>
      <c r="AP74" s="48">
        <v>0.40512137320000002</v>
      </c>
      <c r="AQ74" s="48">
        <v>0.3169482314</v>
      </c>
      <c r="AR74" s="48">
        <v>0.36852794820000001</v>
      </c>
      <c r="AS74" s="48">
        <v>0.34489104129999998</v>
      </c>
      <c r="AT74" s="48">
        <v>0.43453378790000002</v>
      </c>
      <c r="AU74" s="48">
        <v>0.44814198080000001</v>
      </c>
    </row>
    <row r="75" spans="1:48" x14ac:dyDescent="0.35">
      <c r="A75" s="1"/>
      <c r="B75" s="1"/>
      <c r="C75" s="1"/>
      <c r="D75" s="12"/>
      <c r="E75" s="12"/>
      <c r="F75" s="12"/>
      <c r="G75" s="17"/>
      <c r="H75" s="17"/>
      <c r="I75" s="17"/>
      <c r="J75" s="17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J75" s="50">
        <f>(AJ70-AJ74)/(AJ74)</f>
        <v>0.15520847408065197</v>
      </c>
      <c r="AK75" s="50">
        <f t="shared" ref="AK75:AU75" si="0">(AK70-AK74)/(AK74)</f>
        <v>0.10363955073657599</v>
      </c>
      <c r="AL75" s="50">
        <f t="shared" si="0"/>
        <v>0.17370662893039779</v>
      </c>
      <c r="AM75" s="50">
        <f t="shared" si="0"/>
        <v>0.32642897278352578</v>
      </c>
      <c r="AN75" s="50">
        <f t="shared" si="0"/>
        <v>0.13864227659439393</v>
      </c>
      <c r="AO75" s="50">
        <f t="shared" si="0"/>
        <v>0.17557633816368787</v>
      </c>
      <c r="AP75" s="50">
        <f t="shared" si="0"/>
        <v>0.1428575627665748</v>
      </c>
      <c r="AQ75" s="50">
        <f t="shared" si="0"/>
        <v>0.14773743394360514</v>
      </c>
      <c r="AR75" s="50">
        <f t="shared" si="0"/>
        <v>1.3248111910769769E-2</v>
      </c>
      <c r="AS75" s="50">
        <f t="shared" si="0"/>
        <v>-4.1790656393022339E-2</v>
      </c>
      <c r="AT75" s="50">
        <f t="shared" si="0"/>
        <v>0.32458617839968429</v>
      </c>
      <c r="AU75" s="50">
        <f t="shared" si="0"/>
        <v>0.21312141774689991</v>
      </c>
    </row>
    <row r="76" spans="1:48" x14ac:dyDescent="0.35">
      <c r="A76" s="1"/>
      <c r="B76" s="1"/>
      <c r="C76" s="1"/>
      <c r="D76" s="12"/>
      <c r="E76" s="12"/>
      <c r="F76" s="12"/>
      <c r="G76" s="17"/>
      <c r="H76" s="17"/>
      <c r="I76" s="17"/>
      <c r="J76" s="17"/>
      <c r="K76" s="13"/>
      <c r="L76" s="13"/>
      <c r="M76" s="15"/>
      <c r="N76" s="15"/>
      <c r="O76" s="15"/>
      <c r="P76" s="15"/>
      <c r="Q76" s="15"/>
      <c r="R76" s="15"/>
      <c r="S76" s="15"/>
      <c r="T76" s="15"/>
      <c r="U76" s="1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I76" t="s">
        <v>76</v>
      </c>
      <c r="AJ76" s="48">
        <v>0.55732971610000004</v>
      </c>
      <c r="AK76" s="48">
        <v>0.50323860819999999</v>
      </c>
      <c r="AL76" s="48">
        <v>0.56155903360000003</v>
      </c>
      <c r="AM76" s="48">
        <v>0.72106042029999995</v>
      </c>
      <c r="AN76" s="48">
        <v>0.62496777000000003</v>
      </c>
      <c r="AO76" s="48">
        <v>0.44825455870000003</v>
      </c>
      <c r="AP76" s="48">
        <v>0.55571435329999996</v>
      </c>
      <c r="AQ76" s="48">
        <v>0.46218544820000002</v>
      </c>
      <c r="AR76" s="48">
        <v>0.34552813570000002</v>
      </c>
      <c r="AS76" s="48">
        <v>0.40553182869999999</v>
      </c>
      <c r="AT76" s="48">
        <v>0.57239220239999999</v>
      </c>
      <c r="AU76" s="48">
        <v>0.57531990150000001</v>
      </c>
      <c r="AV76" s="48">
        <v>0.54742567129999997</v>
      </c>
    </row>
    <row r="77" spans="1:48" x14ac:dyDescent="0.35">
      <c r="A77" s="1"/>
      <c r="B77" s="1"/>
      <c r="C77" s="1"/>
      <c r="D77" s="12"/>
      <c r="E77" s="12"/>
      <c r="F77" s="12"/>
      <c r="G77" s="17"/>
      <c r="H77" s="17"/>
      <c r="I77" s="17"/>
      <c r="J77" s="17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I77" t="s">
        <v>77</v>
      </c>
      <c r="AJ77" s="48">
        <v>0.43128036380000001</v>
      </c>
      <c r="AK77" s="48">
        <v>0.3321648156</v>
      </c>
      <c r="AL77" s="48">
        <v>0.35172915119999998</v>
      </c>
      <c r="AM77" s="48">
        <v>0.42002407930000002</v>
      </c>
      <c r="AN77" s="48">
        <v>0.41473830969999997</v>
      </c>
      <c r="AO77" s="48">
        <v>0.3543069257</v>
      </c>
      <c r="AP77" s="48">
        <v>0.40698829040000001</v>
      </c>
      <c r="AQ77" s="48">
        <v>0.35102750840000002</v>
      </c>
      <c r="AR77" s="48">
        <v>0.26606901389999998</v>
      </c>
      <c r="AS77" s="48">
        <v>0.40079030739999999</v>
      </c>
      <c r="AT77" s="48">
        <v>0.55120126339999997</v>
      </c>
      <c r="AU77" s="48">
        <v>0.4778245324</v>
      </c>
      <c r="AV77" s="48">
        <v>0.40384480020000002</v>
      </c>
    </row>
    <row r="78" spans="1:48" x14ac:dyDescent="0.35">
      <c r="A78" s="1"/>
      <c r="B78" s="1"/>
      <c r="C78" s="1"/>
      <c r="D78" s="12"/>
      <c r="E78" s="12"/>
      <c r="F78" s="12"/>
      <c r="G78" s="17"/>
      <c r="H78" s="17"/>
      <c r="I78" s="17"/>
      <c r="J78" s="17"/>
      <c r="K78" s="13"/>
      <c r="L78" s="13"/>
      <c r="M78" s="15"/>
      <c r="N78" s="15"/>
      <c r="O78" s="15"/>
      <c r="P78" s="15"/>
      <c r="Q78" s="15"/>
      <c r="R78" s="15"/>
      <c r="S78" s="15"/>
      <c r="T78" s="15"/>
      <c r="U78" s="1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I78" t="s">
        <v>78</v>
      </c>
      <c r="AJ78" s="48">
        <v>0.41513753199999998</v>
      </c>
      <c r="AK78" s="48">
        <v>0.4535366146</v>
      </c>
      <c r="AL78" s="48">
        <v>0.20878651840000001</v>
      </c>
      <c r="AM78" s="48">
        <v>0.40779954419999997</v>
      </c>
      <c r="AN78" s="48">
        <v>0.43664000580000001</v>
      </c>
      <c r="AO78" s="48">
        <v>0.3520454375</v>
      </c>
      <c r="AP78" s="48">
        <v>0.45167440959999999</v>
      </c>
      <c r="AQ78" s="48">
        <v>0.36128528329999998</v>
      </c>
      <c r="AR78" s="48">
        <v>0.314625553</v>
      </c>
      <c r="AS78" s="48">
        <v>0.42951667640000002</v>
      </c>
      <c r="AT78" s="48">
        <v>0.50770024300000005</v>
      </c>
      <c r="AU78" s="48">
        <v>0.45463831129999999</v>
      </c>
      <c r="AV78" s="48">
        <v>0.43788271049999999</v>
      </c>
    </row>
    <row r="79" spans="1:48" x14ac:dyDescent="0.35">
      <c r="A79" s="1"/>
      <c r="B79" s="1"/>
      <c r="C79" s="1"/>
      <c r="D79" s="12"/>
      <c r="E79" s="12"/>
      <c r="F79" s="12"/>
      <c r="G79" s="17"/>
      <c r="H79" s="17"/>
      <c r="I79" s="17"/>
      <c r="J79" s="17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I79" t="s">
        <v>80</v>
      </c>
      <c r="AJ79" s="48">
        <v>0.43128036380000001</v>
      </c>
      <c r="AK79" s="48">
        <v>0.3321648156</v>
      </c>
      <c r="AL79" s="48">
        <v>0.35172915119999998</v>
      </c>
      <c r="AM79" s="48">
        <v>0.42002407930000002</v>
      </c>
      <c r="AN79" s="48">
        <v>0.41473830969999997</v>
      </c>
      <c r="AO79" s="48">
        <v>0.3543069257</v>
      </c>
      <c r="AP79" s="48">
        <v>0.40698829040000001</v>
      </c>
      <c r="AQ79" s="48">
        <v>0.35102750840000002</v>
      </c>
      <c r="AR79" s="48">
        <v>0.26606901389999998</v>
      </c>
      <c r="AS79" s="48">
        <v>0.40079030739999999</v>
      </c>
      <c r="AT79" s="48">
        <v>0.55120126339999997</v>
      </c>
      <c r="AU79" s="48">
        <v>0.4778245324</v>
      </c>
      <c r="AV79" s="48">
        <v>0.40384480020000002</v>
      </c>
    </row>
    <row r="80" spans="1:48" x14ac:dyDescent="0.35">
      <c r="A80" s="1"/>
      <c r="B80" s="1"/>
      <c r="C80" s="1"/>
      <c r="D80" s="12"/>
      <c r="E80" s="12"/>
      <c r="F80" s="12"/>
      <c r="G80" s="17"/>
      <c r="H80" s="17"/>
      <c r="I80" s="17"/>
      <c r="J80" s="17"/>
      <c r="K80" s="13"/>
      <c r="L80" s="13"/>
      <c r="M80" s="15"/>
      <c r="N80" s="15"/>
      <c r="O80" s="15"/>
      <c r="P80" s="15"/>
      <c r="Q80" s="15"/>
      <c r="R80" s="15"/>
      <c r="S80" s="15"/>
      <c r="T80" s="15"/>
      <c r="U80" s="1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I80" t="s">
        <v>79</v>
      </c>
      <c r="AJ80" s="48">
        <v>0.43553770000000003</v>
      </c>
      <c r="AK80" s="48">
        <v>0.46581727630000003</v>
      </c>
      <c r="AL80" s="48">
        <v>0.41005959180000001</v>
      </c>
      <c r="AM80" s="48">
        <v>0.54045479809999997</v>
      </c>
      <c r="AN80" s="48">
        <v>0.4588471616</v>
      </c>
      <c r="AO80" s="48">
        <v>0.39510203420000001</v>
      </c>
      <c r="AP80" s="48">
        <v>0.4430275441</v>
      </c>
      <c r="AQ80" s="48">
        <v>0.35063367020000002</v>
      </c>
      <c r="AR80" s="48">
        <v>0.27320368560000002</v>
      </c>
      <c r="AS80" s="48">
        <v>0.33652411059999998</v>
      </c>
      <c r="AT80" s="48">
        <v>0.49190986269999998</v>
      </c>
      <c r="AU80" s="48">
        <v>0.44597823269999998</v>
      </c>
      <c r="AV80" s="48">
        <v>0.4733652431</v>
      </c>
    </row>
    <row r="81" spans="1:60" x14ac:dyDescent="0.35">
      <c r="A81" s="1"/>
      <c r="B81" s="1"/>
      <c r="C81" s="1"/>
      <c r="D81" s="12"/>
      <c r="E81" s="12"/>
      <c r="F81" s="12"/>
      <c r="G81" s="17"/>
      <c r="H81" s="17"/>
      <c r="I81" s="17"/>
      <c r="J81" s="17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J81" s="50">
        <f>(AJ76-AJ80)/(AJ80)</f>
        <v>0.27963599040909665</v>
      </c>
      <c r="AK81" s="50">
        <f t="shared" ref="AK81:AV81" si="1">(AK76-AK80)/(AK80)</f>
        <v>8.0334787488430398E-2</v>
      </c>
      <c r="AL81" s="50">
        <f t="shared" si="1"/>
        <v>0.36945713459591856</v>
      </c>
      <c r="AM81" s="50">
        <f t="shared" si="1"/>
        <v>0.33417340883072827</v>
      </c>
      <c r="AN81" s="50">
        <f t="shared" si="1"/>
        <v>0.36203908905252347</v>
      </c>
      <c r="AO81" s="50">
        <f t="shared" si="1"/>
        <v>0.13452860248523626</v>
      </c>
      <c r="AP81" s="50">
        <f t="shared" si="1"/>
        <v>0.25435621486903381</v>
      </c>
      <c r="AQ81" s="50">
        <f t="shared" si="1"/>
        <v>0.31814337150328803</v>
      </c>
      <c r="AR81" s="50">
        <f t="shared" si="1"/>
        <v>0.26472721237696212</v>
      </c>
      <c r="AS81" s="50">
        <f t="shared" si="1"/>
        <v>0.20506024955229465</v>
      </c>
      <c r="AT81" s="50">
        <f t="shared" si="1"/>
        <v>0.16361196593670171</v>
      </c>
      <c r="AU81" s="50">
        <f t="shared" si="1"/>
        <v>0.29001789620303153</v>
      </c>
      <c r="AV81" s="50">
        <f t="shared" si="1"/>
        <v>0.15645514595661697</v>
      </c>
    </row>
    <row r="82" spans="1:60" x14ac:dyDescent="0.35">
      <c r="A82" s="1"/>
      <c r="B82" s="1"/>
      <c r="C82" s="1"/>
      <c r="D82" s="12"/>
      <c r="E82" s="12"/>
      <c r="F82" s="12"/>
      <c r="G82" s="17"/>
      <c r="H82" s="17"/>
      <c r="I82" s="17"/>
      <c r="J82" s="17"/>
      <c r="K82" s="13"/>
      <c r="L82" s="13"/>
      <c r="M82" s="15"/>
      <c r="N82" s="15"/>
      <c r="O82" s="15"/>
      <c r="P82" s="15"/>
      <c r="Q82" s="15"/>
      <c r="R82" s="14"/>
      <c r="S82" s="15"/>
      <c r="T82" s="15"/>
      <c r="U82" s="1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K82">
        <f>AVERAGE(AJ81:AV81,AJ75:AU75)</f>
        <v>0.20342013435694428</v>
      </c>
    </row>
    <row r="83" spans="1:60" x14ac:dyDescent="0.35">
      <c r="A83" s="1"/>
      <c r="B83" s="1"/>
      <c r="C83" s="1"/>
      <c r="D83" s="12"/>
      <c r="E83" s="12"/>
      <c r="F83" s="12"/>
      <c r="G83" s="17"/>
      <c r="H83" s="17"/>
      <c r="I83" s="17"/>
      <c r="J83" s="17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60" x14ac:dyDescent="0.35">
      <c r="A84" s="1"/>
      <c r="B84" s="1"/>
      <c r="C84" s="1"/>
      <c r="D84" s="12"/>
      <c r="E84" s="12"/>
      <c r="F84" s="12"/>
      <c r="G84" s="17"/>
      <c r="H84" s="17"/>
      <c r="I84" s="17"/>
      <c r="J84" s="17"/>
      <c r="K84" s="13"/>
      <c r="L84" s="13"/>
      <c r="M84" s="15"/>
      <c r="N84" s="15"/>
      <c r="O84" s="15"/>
      <c r="P84" s="15"/>
      <c r="Q84" s="15"/>
      <c r="R84" s="15"/>
      <c r="S84" s="15"/>
      <c r="T84" s="15"/>
      <c r="U84" s="1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60" x14ac:dyDescent="0.35">
      <c r="A85" s="1"/>
      <c r="B85" s="1"/>
      <c r="C85" s="1"/>
      <c r="D85" s="12"/>
      <c r="E85" s="12"/>
      <c r="F85" s="12"/>
      <c r="G85" s="17"/>
      <c r="H85" s="17"/>
      <c r="I85" s="17"/>
      <c r="J85" s="17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60" x14ac:dyDescent="0.35">
      <c r="A86" s="1"/>
      <c r="B86" s="1"/>
      <c r="C86" s="1"/>
      <c r="D86" s="12"/>
      <c r="E86" s="12"/>
      <c r="F86" s="12"/>
      <c r="G86" s="17"/>
      <c r="H86" s="17"/>
      <c r="I86" s="17"/>
      <c r="J86" s="17"/>
      <c r="K86" s="13"/>
      <c r="L86" s="13"/>
      <c r="M86" s="15"/>
      <c r="N86" s="15"/>
      <c r="O86" s="15"/>
      <c r="P86" s="15"/>
      <c r="Q86" s="15"/>
      <c r="R86" s="15"/>
      <c r="S86" s="15"/>
      <c r="T86" s="15"/>
      <c r="U86" s="1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60" x14ac:dyDescent="0.35">
      <c r="C87" s="1"/>
      <c r="D87" s="12"/>
      <c r="E87" s="12"/>
      <c r="F87" s="12"/>
      <c r="G87" s="17"/>
      <c r="H87" s="17"/>
      <c r="I87" s="17"/>
      <c r="J87" s="17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I87" t="s">
        <v>76</v>
      </c>
      <c r="AJ87" s="54">
        <v>0.27848992810000001</v>
      </c>
      <c r="AK87" s="54">
        <v>0.37183397730000001</v>
      </c>
      <c r="AL87" s="54">
        <v>0.3655711109</v>
      </c>
      <c r="AM87" s="54">
        <v>0.31626747550000001</v>
      </c>
      <c r="AN87" s="54">
        <v>0.30597651580000002</v>
      </c>
      <c r="AO87" s="54">
        <v>0.39195058059999999</v>
      </c>
      <c r="AP87" s="54">
        <v>0.33946456590000001</v>
      </c>
      <c r="AQ87" s="54">
        <v>0.22752228360000001</v>
      </c>
      <c r="AR87" s="54">
        <v>0.2052500156</v>
      </c>
      <c r="AS87" s="54">
        <v>0.24588950039999999</v>
      </c>
      <c r="AT87" s="54">
        <v>0.34560357549999998</v>
      </c>
      <c r="AU87" s="54">
        <v>0.41933765480000001</v>
      </c>
      <c r="AV87">
        <v>0.43128036380000001</v>
      </c>
      <c r="AW87">
        <v>0.3321648156</v>
      </c>
      <c r="AX87">
        <v>0.35172915119999998</v>
      </c>
      <c r="AY87">
        <v>0.42002407930000002</v>
      </c>
      <c r="AZ87">
        <v>0.41473830969999997</v>
      </c>
      <c r="BA87">
        <v>0.3543069257</v>
      </c>
      <c r="BB87">
        <v>0.40698829040000001</v>
      </c>
      <c r="BC87">
        <v>0.35102750840000002</v>
      </c>
      <c r="BD87">
        <v>0.26606901389999998</v>
      </c>
      <c r="BE87">
        <v>0.40079030739999999</v>
      </c>
      <c r="BF87">
        <v>0.55120126339999997</v>
      </c>
      <c r="BG87">
        <v>0.4778245324</v>
      </c>
      <c r="BH87">
        <v>0.40384480020000002</v>
      </c>
    </row>
    <row r="88" spans="1:60" x14ac:dyDescent="0.35">
      <c r="C88" s="1"/>
      <c r="D88" s="12"/>
      <c r="E88" s="12"/>
      <c r="F88" s="12"/>
      <c r="G88" s="17"/>
      <c r="H88" s="17"/>
      <c r="I88" s="17"/>
      <c r="J88" s="17"/>
      <c r="K88" s="13"/>
      <c r="L88" s="13"/>
      <c r="M88" s="15"/>
      <c r="N88" s="15"/>
      <c r="O88" s="15"/>
      <c r="P88" s="15"/>
      <c r="Q88" s="15"/>
      <c r="R88" s="15"/>
      <c r="S88" s="15"/>
      <c r="T88" s="15"/>
      <c r="U88" s="1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I88" t="s">
        <v>77</v>
      </c>
      <c r="AJ88" s="54">
        <v>0.3197029864</v>
      </c>
      <c r="AK88" s="54">
        <v>0.36845687719999998</v>
      </c>
      <c r="AL88" s="54">
        <v>0.34137947480000003</v>
      </c>
      <c r="AM88" s="54">
        <v>0.25192534999999999</v>
      </c>
      <c r="AN88" s="54">
        <v>0.28723399589999998</v>
      </c>
      <c r="AO88" s="54">
        <v>0.42239668429999999</v>
      </c>
      <c r="AP88" s="54">
        <v>0.39880573270000003</v>
      </c>
      <c r="AQ88" s="54">
        <v>0.27314287609999999</v>
      </c>
      <c r="AR88" s="54">
        <v>0.2529742365</v>
      </c>
      <c r="AS88" s="54">
        <v>0.29507052569999997</v>
      </c>
      <c r="AT88" s="54">
        <v>0.37302700389999999</v>
      </c>
      <c r="AU88" s="54">
        <v>0.42007253</v>
      </c>
      <c r="AV88">
        <v>0.41446260730000001</v>
      </c>
      <c r="AW88">
        <v>0.33321629590000001</v>
      </c>
      <c r="AX88">
        <v>0.36568565710000001</v>
      </c>
      <c r="AY88">
        <v>0.4660434557</v>
      </c>
      <c r="AZ88">
        <v>0.3966791194</v>
      </c>
      <c r="BA88">
        <v>0.45009752730000002</v>
      </c>
      <c r="BB88">
        <v>0.47258400540000001</v>
      </c>
      <c r="BC88">
        <v>0.34215019810000002</v>
      </c>
      <c r="BD88">
        <v>0.21190228489999999</v>
      </c>
      <c r="BE88">
        <v>0.50037212379999996</v>
      </c>
      <c r="BF88">
        <v>0.59294481440000002</v>
      </c>
      <c r="BG88">
        <v>0.44913942270000001</v>
      </c>
      <c r="BH88">
        <v>0.45376178379999998</v>
      </c>
    </row>
    <row r="89" spans="1:60" x14ac:dyDescent="0.35">
      <c r="C89" s="1"/>
      <c r="D89" s="12"/>
      <c r="E89" s="12"/>
      <c r="F89" s="12"/>
      <c r="G89" s="17"/>
      <c r="H89" s="17"/>
      <c r="I89" s="17"/>
      <c r="J89" s="17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I89" t="s">
        <v>78</v>
      </c>
      <c r="AJ89" s="49">
        <v>0.32689390330000001</v>
      </c>
      <c r="AK89" s="49">
        <v>0.34532890659999999</v>
      </c>
      <c r="AL89" s="49">
        <v>0.32835669740000001</v>
      </c>
      <c r="AM89" s="49">
        <v>0.40131238860000001</v>
      </c>
      <c r="AN89" s="49">
        <v>0.3412729987</v>
      </c>
      <c r="AO89" s="49">
        <v>0.20939053229999999</v>
      </c>
      <c r="AP89" s="49">
        <v>0.25516214370000001</v>
      </c>
      <c r="AQ89" s="49">
        <v>0.10349120959999999</v>
      </c>
      <c r="AR89" s="49">
        <v>0.13577776059999999</v>
      </c>
      <c r="AS89" s="49">
        <v>0.1452019816</v>
      </c>
      <c r="AT89" s="49">
        <v>0.26001435630000003</v>
      </c>
      <c r="AU89" s="49">
        <v>0.2887676998</v>
      </c>
    </row>
    <row r="90" spans="1:60" x14ac:dyDescent="0.35">
      <c r="C90" s="1"/>
      <c r="D90" s="12"/>
      <c r="E90" s="12"/>
      <c r="F90" s="12"/>
      <c r="G90" s="12"/>
      <c r="H90" s="12"/>
      <c r="I90" s="12"/>
      <c r="J90" s="12"/>
      <c r="K90" s="13"/>
      <c r="L90" s="13"/>
      <c r="M90" s="15"/>
      <c r="N90" s="15"/>
      <c r="O90" s="15"/>
      <c r="P90" s="15"/>
      <c r="Q90" s="15"/>
      <c r="R90" s="15"/>
      <c r="S90" s="15"/>
      <c r="T90" s="15"/>
      <c r="U90" s="1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>
        <v>0.3197029864</v>
      </c>
      <c r="AI90" t="s">
        <v>80</v>
      </c>
      <c r="AJ90" s="49">
        <v>0.40273892909999998</v>
      </c>
      <c r="AK90" s="49">
        <v>0.4456409388</v>
      </c>
      <c r="AL90" s="49">
        <v>0.43961941700000001</v>
      </c>
      <c r="AM90" s="49">
        <v>0.35588190629999999</v>
      </c>
      <c r="AN90" s="49">
        <v>0.32654198969999998</v>
      </c>
      <c r="AO90" s="49">
        <v>0.33432872699999999</v>
      </c>
      <c r="AP90" s="49">
        <v>0.30417107370000002</v>
      </c>
      <c r="AQ90" s="49">
        <v>0.21012870080000001</v>
      </c>
      <c r="AR90" s="49">
        <v>0.19086336070000001</v>
      </c>
      <c r="AS90" s="49">
        <v>0.2209172311</v>
      </c>
      <c r="AT90" s="49">
        <v>0.26728549829999998</v>
      </c>
      <c r="AU90" s="49">
        <v>0.29443512399999999</v>
      </c>
    </row>
    <row r="91" spans="1:60" x14ac:dyDescent="0.35">
      <c r="C91" s="1"/>
      <c r="D91" s="12"/>
      <c r="E91" s="12"/>
      <c r="F91" s="12"/>
      <c r="G91" s="12"/>
      <c r="H91" s="12"/>
      <c r="I91" s="12"/>
      <c r="J91" s="12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>
        <v>0.36845687719999998</v>
      </c>
      <c r="AI91" t="s">
        <v>81</v>
      </c>
      <c r="AJ91" s="49">
        <v>0.44004261150000001</v>
      </c>
      <c r="AK91" s="49">
        <v>0.43571202139999998</v>
      </c>
      <c r="AL91" s="49">
        <v>0.46040124700000001</v>
      </c>
      <c r="AM91" s="49">
        <v>0.53213886960000001</v>
      </c>
      <c r="AN91" s="49">
        <v>0.47986962239999997</v>
      </c>
      <c r="AO91" s="49">
        <v>0.6442783487</v>
      </c>
      <c r="AP91" s="49">
        <v>0.46299602519999999</v>
      </c>
      <c r="AQ91" s="49">
        <v>0.36377334979999998</v>
      </c>
      <c r="AR91" s="49">
        <v>0.37341024769999998</v>
      </c>
      <c r="AS91" s="49">
        <v>0.3304778183</v>
      </c>
      <c r="AT91" s="49">
        <v>0.5755774495</v>
      </c>
      <c r="AU91" s="49">
        <v>0.5436506351</v>
      </c>
    </row>
    <row r="92" spans="1:60" x14ac:dyDescent="0.35">
      <c r="C92" s="1"/>
      <c r="D92" s="8"/>
      <c r="E92" s="8"/>
      <c r="F92" s="8"/>
      <c r="G92" s="8"/>
      <c r="H92" s="8"/>
      <c r="I92" s="8"/>
      <c r="J92" s="8"/>
      <c r="K92" s="9"/>
      <c r="L92" s="9"/>
      <c r="M92" s="10"/>
      <c r="N92" s="10"/>
      <c r="O92" s="10"/>
      <c r="P92" s="10"/>
      <c r="Q92" s="10"/>
      <c r="R92" s="10"/>
      <c r="S92" s="10"/>
      <c r="T92" s="10"/>
      <c r="U92" s="1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>
        <v>0.34137947480000003</v>
      </c>
      <c r="AI92" t="s">
        <v>82</v>
      </c>
      <c r="AJ92" s="51">
        <f>(AJ88-AJ91)/(AJ91)</f>
        <v>-0.27347266368088996</v>
      </c>
      <c r="AK92" s="51">
        <f t="shared" ref="AK92:AU92" si="2">(AK88-AK91)/(AK91)</f>
        <v>-0.15435687081549962</v>
      </c>
      <c r="AL92" s="51">
        <f t="shared" si="2"/>
        <v>-0.25851748442375522</v>
      </c>
      <c r="AM92" s="51">
        <f t="shared" si="2"/>
        <v>-0.526579687386174</v>
      </c>
      <c r="AN92" s="51">
        <f t="shared" si="2"/>
        <v>-0.40143325917685763</v>
      </c>
      <c r="AO92" s="51">
        <f t="shared" si="2"/>
        <v>-0.3443878951507594</v>
      </c>
      <c r="AP92" s="51">
        <f t="shared" si="2"/>
        <v>-0.13864113082239041</v>
      </c>
      <c r="AQ92" s="51">
        <f t="shared" si="2"/>
        <v>-0.24913994867911018</v>
      </c>
      <c r="AR92" s="51">
        <f t="shared" si="2"/>
        <v>-0.32253001073703519</v>
      </c>
      <c r="AS92" s="51">
        <f t="shared" si="2"/>
        <v>-0.10713969482774217</v>
      </c>
      <c r="AT92" s="51">
        <f t="shared" si="2"/>
        <v>-0.35190823715549341</v>
      </c>
      <c r="AU92" s="51">
        <f t="shared" si="2"/>
        <v>-0.22731161728022048</v>
      </c>
    </row>
    <row r="93" spans="1:60" x14ac:dyDescent="0.35">
      <c r="C93" s="1"/>
      <c r="D93" s="8"/>
      <c r="E93" s="8"/>
      <c r="F93" s="8"/>
      <c r="G93" s="8"/>
      <c r="H93" s="8"/>
      <c r="I93" s="8"/>
      <c r="J93" s="8"/>
      <c r="K93" s="9"/>
      <c r="L93" s="9"/>
      <c r="M93" s="9"/>
      <c r="N93" s="9"/>
      <c r="O93" s="9"/>
      <c r="P93" s="9"/>
      <c r="Q93" s="9"/>
      <c r="R93" s="9"/>
      <c r="S93" s="9"/>
      <c r="T93" s="9"/>
      <c r="U93" s="1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>
        <v>0.25192534999999999</v>
      </c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</row>
    <row r="94" spans="1:60" x14ac:dyDescent="0.35">
      <c r="C94" s="1"/>
      <c r="D94" s="8"/>
      <c r="E94" s="8"/>
      <c r="F94" s="8"/>
      <c r="G94" s="8"/>
      <c r="H94" s="8"/>
      <c r="I94" s="8"/>
      <c r="J94" s="8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1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>
        <v>0.28723399589999998</v>
      </c>
      <c r="AI94" t="s">
        <v>76</v>
      </c>
      <c r="AJ94" s="49">
        <v>0.43128036380000001</v>
      </c>
      <c r="AK94" s="49">
        <v>0.3321648156</v>
      </c>
      <c r="AL94" s="49">
        <v>0.35172915119999998</v>
      </c>
      <c r="AM94" s="49">
        <v>0.42002407930000002</v>
      </c>
      <c r="AN94" s="49">
        <v>0.41473830969999997</v>
      </c>
      <c r="AO94" s="49">
        <v>0.3543069257</v>
      </c>
      <c r="AP94" s="49">
        <v>0.40698829040000001</v>
      </c>
      <c r="AQ94" s="49">
        <v>0.35102750840000002</v>
      </c>
      <c r="AR94" s="49">
        <v>0.26606901389999998</v>
      </c>
      <c r="AS94" s="49">
        <v>0.40079030739999999</v>
      </c>
      <c r="AT94" s="49">
        <v>0.55120126339999997</v>
      </c>
      <c r="AU94" s="49">
        <v>0.4778245324</v>
      </c>
      <c r="AV94" s="49">
        <v>0.40384480020000002</v>
      </c>
    </row>
    <row r="95" spans="1:60" x14ac:dyDescent="0.35">
      <c r="C95" s="1"/>
      <c r="D95" s="8"/>
      <c r="E95" s="8"/>
      <c r="F95" s="8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1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>
        <v>0.42239668429999999</v>
      </c>
      <c r="AI95" t="s">
        <v>77</v>
      </c>
      <c r="AJ95" s="49">
        <v>0.41446260730000001</v>
      </c>
      <c r="AK95" s="49">
        <v>0.33321629590000001</v>
      </c>
      <c r="AL95" s="49">
        <v>0.36568565710000001</v>
      </c>
      <c r="AM95" s="49">
        <v>0.4660434557</v>
      </c>
      <c r="AN95" s="49">
        <v>0.3966791194</v>
      </c>
      <c r="AO95" s="49">
        <v>0.45009752730000002</v>
      </c>
      <c r="AP95" s="49">
        <v>0.47258400540000001</v>
      </c>
      <c r="AQ95" s="49">
        <v>0.34215019810000002</v>
      </c>
      <c r="AR95" s="49">
        <v>0.21190228489999999</v>
      </c>
      <c r="AS95" s="49">
        <v>0.50037212379999996</v>
      </c>
      <c r="AT95" s="49">
        <v>0.59294481440000002</v>
      </c>
      <c r="AU95" s="49">
        <v>0.44913942270000001</v>
      </c>
      <c r="AV95" s="49">
        <v>0.45376178379999998</v>
      </c>
    </row>
    <row r="96" spans="1:60" x14ac:dyDescent="0.3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>
        <v>0.39880573270000003</v>
      </c>
      <c r="AI96" t="s">
        <v>78</v>
      </c>
      <c r="AJ96" s="49">
        <v>0.24830922969999999</v>
      </c>
      <c r="AK96" s="49">
        <v>0.17401319069999999</v>
      </c>
      <c r="AL96" s="49">
        <v>0.1707250417</v>
      </c>
      <c r="AM96" s="49">
        <v>0.33168768790000003</v>
      </c>
      <c r="AN96" s="49">
        <v>0.3063277767</v>
      </c>
      <c r="AO96" s="49">
        <v>0.33565092060000001</v>
      </c>
      <c r="AP96" s="49">
        <v>0.47180669289999999</v>
      </c>
      <c r="AQ96" s="49">
        <v>0.26717566300000001</v>
      </c>
      <c r="AR96" s="49">
        <v>0.29046552190000002</v>
      </c>
      <c r="AS96" s="49">
        <v>0.45992168690000002</v>
      </c>
      <c r="AT96" s="49">
        <v>0.52908853649999998</v>
      </c>
      <c r="AU96" s="49">
        <v>0.50609004909999999</v>
      </c>
      <c r="AV96" s="49">
        <v>0.34646321969999999</v>
      </c>
    </row>
    <row r="97" spans="3:48" x14ac:dyDescent="0.3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>
        <v>0.27314287609999999</v>
      </c>
      <c r="AI97" t="s">
        <v>80</v>
      </c>
      <c r="AJ97" s="49">
        <v>0.35563427819999999</v>
      </c>
      <c r="AK97" s="49">
        <v>0.3091162469</v>
      </c>
      <c r="AL97" s="49">
        <v>0.27190326660000003</v>
      </c>
      <c r="AM97" s="49">
        <v>0.36561617540000002</v>
      </c>
      <c r="AN97" s="49">
        <v>0.43650044469999999</v>
      </c>
      <c r="AO97" s="49">
        <v>0.35071135809999998</v>
      </c>
      <c r="AP97" s="49">
        <v>0.43033059400000001</v>
      </c>
      <c r="AQ97" s="49">
        <v>0.30914086470000002</v>
      </c>
      <c r="AR97" s="49">
        <v>0.28448619060000002</v>
      </c>
      <c r="AS97" s="49">
        <v>0.47092627809999998</v>
      </c>
      <c r="AT97" s="49">
        <v>0.58184014260000005</v>
      </c>
      <c r="AU97" s="49">
        <v>0.54872654570000001</v>
      </c>
      <c r="AV97" s="49">
        <v>0.47035720250000002</v>
      </c>
    </row>
    <row r="98" spans="3:48" x14ac:dyDescent="0.3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>
        <v>0.2529742365</v>
      </c>
      <c r="AI98" t="s">
        <v>81</v>
      </c>
      <c r="AJ98" s="48">
        <v>0.55732971610000004</v>
      </c>
      <c r="AK98" s="48">
        <v>0.50323860819999999</v>
      </c>
      <c r="AL98" s="48">
        <v>0.56155903360000003</v>
      </c>
      <c r="AM98" s="48">
        <v>0.72106042029999995</v>
      </c>
      <c r="AN98" s="48">
        <v>0.62496777000000003</v>
      </c>
      <c r="AO98" s="48">
        <v>0.44825455870000003</v>
      </c>
      <c r="AP98" s="48">
        <v>0.55571435329999996</v>
      </c>
      <c r="AQ98" s="48">
        <v>0.46218544820000002</v>
      </c>
      <c r="AR98" s="48">
        <v>0.34552813570000002</v>
      </c>
      <c r="AS98" s="48">
        <v>0.40553182869999999</v>
      </c>
      <c r="AT98" s="48">
        <v>0.57239220239999999</v>
      </c>
      <c r="AU98" s="48">
        <v>0.57531990150000001</v>
      </c>
      <c r="AV98" s="48">
        <v>0.54742567129999997</v>
      </c>
    </row>
    <row r="99" spans="3:48" x14ac:dyDescent="0.3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>
        <v>0.29507052569999997</v>
      </c>
      <c r="AI99" t="s">
        <v>82</v>
      </c>
      <c r="AJ99" s="51">
        <f>(AJ95-AJ98)/(AJ98)</f>
        <v>-0.25634216994517084</v>
      </c>
      <c r="AK99" s="51">
        <f t="shared" ref="AK99:AL99" si="3">(AK95-AK98)/(AK98)</f>
        <v>-0.33785625651446188</v>
      </c>
      <c r="AL99" s="51">
        <f t="shared" si="3"/>
        <v>-0.34880282353274572</v>
      </c>
      <c r="AM99" s="51">
        <f>(AM95-AM98)/(AM98)</f>
        <v>-0.35366934229159208</v>
      </c>
      <c r="AN99" s="51">
        <f>(AN95-AN98)/(AN98)</f>
        <v>-0.36528067775399042</v>
      </c>
      <c r="AO99" s="51">
        <f>(AO95-AO98)/(AO98)</f>
        <v>4.1114330333747355E-3</v>
      </c>
      <c r="AP99" s="51">
        <f t="shared" ref="AP99:AV99" si="4">(AP95-AP98)/(AP98)</f>
        <v>-0.14959186748794015</v>
      </c>
      <c r="AQ99" s="51">
        <f t="shared" si="4"/>
        <v>-0.25971230935002854</v>
      </c>
      <c r="AR99" s="51">
        <f t="shared" si="4"/>
        <v>-0.38672929059536504</v>
      </c>
      <c r="AS99" s="51">
        <f t="shared" si="4"/>
        <v>0.23386646469656003</v>
      </c>
      <c r="AT99" s="51">
        <f t="shared" si="4"/>
        <v>3.5906519889377209E-2</v>
      </c>
      <c r="AU99" s="51">
        <f t="shared" si="4"/>
        <v>-0.21932229090461944</v>
      </c>
      <c r="AV99" s="51">
        <f t="shared" si="4"/>
        <v>-0.17109882201463356</v>
      </c>
    </row>
    <row r="100" spans="3:48" x14ac:dyDescent="0.3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>
        <v>0.37302700389999999</v>
      </c>
      <c r="AI100">
        <v>0.13577776059999999</v>
      </c>
      <c r="AJ100" t="s">
        <v>83</v>
      </c>
    </row>
    <row r="101" spans="3:48" x14ac:dyDescent="0.3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>
        <v>0.42007253</v>
      </c>
      <c r="AI101">
        <v>0.1452019816</v>
      </c>
    </row>
    <row r="102" spans="3:48" x14ac:dyDescent="0.3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AG102">
        <v>0.41446260730000001</v>
      </c>
    </row>
    <row r="103" spans="3:48" x14ac:dyDescent="0.3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AG103">
        <v>0.33321629590000001</v>
      </c>
    </row>
    <row r="104" spans="3:48" x14ac:dyDescent="0.3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AG104">
        <v>0.36568565710000001</v>
      </c>
    </row>
    <row r="105" spans="3:48" x14ac:dyDescent="0.3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AG105">
        <v>0.4660434557</v>
      </c>
    </row>
    <row r="106" spans="3:48" x14ac:dyDescent="0.3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AG106">
        <v>0.3966791194</v>
      </c>
      <c r="AI106" t="s">
        <v>76</v>
      </c>
      <c r="AJ106" s="49">
        <v>0.35112990620000001</v>
      </c>
      <c r="AK106" s="49">
        <v>0.55686943359999996</v>
      </c>
      <c r="AL106" s="49">
        <v>0.57522177109999995</v>
      </c>
      <c r="AM106" s="49">
        <v>0.46896681220000003</v>
      </c>
      <c r="AN106" s="49">
        <v>0.37361084880000001</v>
      </c>
      <c r="AO106" s="49">
        <v>0.49707362910000003</v>
      </c>
      <c r="AP106" s="49">
        <v>0.4499074307</v>
      </c>
      <c r="AQ106" s="49">
        <v>0.3048374224</v>
      </c>
      <c r="AR106" s="49">
        <v>0.28979709170000001</v>
      </c>
      <c r="AS106" s="49">
        <v>0.31077963009999998</v>
      </c>
      <c r="AT106" s="49">
        <v>0.419911584</v>
      </c>
      <c r="AU106" s="49">
        <v>0.45616643649999999</v>
      </c>
    </row>
    <row r="107" spans="3:48" x14ac:dyDescent="0.3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AG107">
        <v>0.45009752730000002</v>
      </c>
      <c r="AI107" t="s">
        <v>77</v>
      </c>
      <c r="AJ107" s="49">
        <v>0.26741770770000001</v>
      </c>
      <c r="AK107" s="49">
        <v>0.36974097280000001</v>
      </c>
      <c r="AL107" s="49">
        <v>0.375108212</v>
      </c>
      <c r="AM107" s="49">
        <v>0.34256647400000001</v>
      </c>
      <c r="AN107" s="49">
        <v>0.31151503069999997</v>
      </c>
      <c r="AO107" s="49">
        <v>0.38476913210000002</v>
      </c>
      <c r="AP107" s="49">
        <v>0.28773853840000002</v>
      </c>
      <c r="AQ107" s="49">
        <v>0.2436994774</v>
      </c>
      <c r="AR107" s="49">
        <v>0.1839558104</v>
      </c>
      <c r="AS107" s="49">
        <v>0.25028939410000001</v>
      </c>
      <c r="AT107" s="49">
        <v>0.39265275300000002</v>
      </c>
      <c r="AU107" s="49">
        <v>0.44398832719999998</v>
      </c>
    </row>
    <row r="108" spans="3:48" x14ac:dyDescent="0.35">
      <c r="C108" s="1"/>
      <c r="D108" s="1"/>
      <c r="E108" s="1"/>
      <c r="F108" s="1"/>
      <c r="G108" s="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G108">
        <v>0.47258400540000001</v>
      </c>
      <c r="AI108" t="s">
        <v>78</v>
      </c>
      <c r="AJ108" s="49">
        <v>0.33555993950000002</v>
      </c>
      <c r="AK108" s="49">
        <v>0.34765458989999998</v>
      </c>
      <c r="AL108" s="49">
        <v>0.33996826359999999</v>
      </c>
      <c r="AM108" s="49">
        <v>0.39657808020000002</v>
      </c>
      <c r="AN108" s="49">
        <v>0.33271007479999998</v>
      </c>
      <c r="AO108" s="49">
        <v>0.40889837480000002</v>
      </c>
      <c r="AP108" s="49">
        <v>0.26038537680000001</v>
      </c>
      <c r="AQ108" s="49">
        <v>9.5777444059999994E-2</v>
      </c>
      <c r="AR108" s="49">
        <v>0.12640188690000001</v>
      </c>
      <c r="AS108" s="49">
        <v>0.1354823641</v>
      </c>
      <c r="AT108" s="49">
        <v>0.2539861544</v>
      </c>
      <c r="AU108" s="49">
        <v>0.2760595495</v>
      </c>
    </row>
    <row r="109" spans="3:48" x14ac:dyDescent="0.35">
      <c r="C109" s="1"/>
      <c r="D109" s="1"/>
      <c r="E109" s="1"/>
      <c r="F109" s="1"/>
      <c r="G109" s="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G109">
        <v>0.34215019810000002</v>
      </c>
      <c r="AI109" t="s">
        <v>80</v>
      </c>
      <c r="AJ109" s="49">
        <v>0.38467524829999999</v>
      </c>
      <c r="AK109" s="49">
        <v>0.42630893089999999</v>
      </c>
      <c r="AL109" s="49">
        <v>0.40004740909999997</v>
      </c>
      <c r="AM109" s="49">
        <v>0.34917260839999997</v>
      </c>
      <c r="AN109" s="49">
        <v>0.31357690570000002</v>
      </c>
      <c r="AO109" s="49">
        <v>0.33487963799999998</v>
      </c>
      <c r="AP109" s="49">
        <v>0.31208026519999998</v>
      </c>
      <c r="AQ109" s="49">
        <v>0.20528688119999999</v>
      </c>
      <c r="AR109" s="49">
        <v>0.16493709379999999</v>
      </c>
      <c r="AS109" s="49">
        <v>0.1940462875</v>
      </c>
      <c r="AT109" s="49">
        <v>0.26540969110000001</v>
      </c>
      <c r="AU109" s="49">
        <v>0.28064379150000002</v>
      </c>
    </row>
    <row r="110" spans="3:48" x14ac:dyDescent="0.35"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G110">
        <v>0.21190228489999999</v>
      </c>
      <c r="AI110" t="s">
        <v>81</v>
      </c>
      <c r="AJ110" s="49">
        <v>0.44004261150000001</v>
      </c>
      <c r="AK110" s="49">
        <v>0.43571202139999998</v>
      </c>
      <c r="AL110" s="49">
        <v>0.46040124700000001</v>
      </c>
      <c r="AM110" s="49">
        <v>0.53213886960000001</v>
      </c>
      <c r="AN110" s="49">
        <v>0.47986962239999997</v>
      </c>
      <c r="AO110" s="49">
        <v>0.6442783487</v>
      </c>
      <c r="AP110" s="49">
        <v>0.46299602519999999</v>
      </c>
      <c r="AQ110" s="49">
        <v>0.36377334979999998</v>
      </c>
      <c r="AR110" s="49">
        <v>0.37341024769999998</v>
      </c>
      <c r="AS110" s="49">
        <v>0.3304778183</v>
      </c>
      <c r="AT110" s="49">
        <v>0.5755774495</v>
      </c>
      <c r="AU110" s="49">
        <v>0.5436506351</v>
      </c>
    </row>
    <row r="111" spans="3:48" x14ac:dyDescent="0.35"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G111">
        <v>0.50037212379999996</v>
      </c>
      <c r="AI111" t="s">
        <v>82</v>
      </c>
      <c r="AJ111" s="51">
        <f>(AJ106-AJ110)/(AJ110)</f>
        <v>-0.20205476237157546</v>
      </c>
      <c r="AK111" s="51">
        <f>(AK106-AK110)/(AK110)</f>
        <v>0.27806763699267534</v>
      </c>
      <c r="AL111" s="51">
        <f t="shared" ref="AL111" si="5">(AL106-AL110)/(AL110)</f>
        <v>0.24939229606387214</v>
      </c>
      <c r="AM111" s="51">
        <f t="shared" ref="AM111" si="6">(AM106-AM110)/(AM110)</f>
        <v>-0.11871348065117922</v>
      </c>
      <c r="AN111" s="51">
        <f t="shared" ref="AN111" si="7">(AN106-AN110)/(AN110)</f>
        <v>-0.22143259052023706</v>
      </c>
      <c r="AO111" s="51">
        <f t="shared" ref="AO111" si="8">(AO106-AO110)/(AO110)</f>
        <v>-0.22848000386327427</v>
      </c>
      <c r="AP111" s="51">
        <f t="shared" ref="AP111" si="9">(AP106-AP110)/(AP110)</f>
        <v>-2.826934528076375E-2</v>
      </c>
      <c r="AQ111" s="51">
        <f t="shared" ref="AQ111" si="10">(AQ106-AQ110)/(AQ110)</f>
        <v>-0.16201276820416485</v>
      </c>
      <c r="AR111" s="51">
        <f t="shared" ref="AR111" si="11">(AR106-AR110)/(AR110)</f>
        <v>-0.22391767905409837</v>
      </c>
      <c r="AS111" s="51">
        <f t="shared" ref="AS111" si="12">(AS106-AS110)/(AS110)</f>
        <v>-5.9605175020002309E-2</v>
      </c>
      <c r="AT111" s="51">
        <f t="shared" ref="AT111" si="13">(AT106-AT110)/(AT110)</f>
        <v>-0.27045164058325394</v>
      </c>
      <c r="AU111" s="51">
        <f t="shared" ref="AU111" si="14">(AU106-AU110)/(AU110)</f>
        <v>-0.16091988669140067</v>
      </c>
    </row>
    <row r="112" spans="3:48" x14ac:dyDescent="0.35">
      <c r="H112" s="5"/>
      <c r="I112" s="6"/>
      <c r="J112" s="6"/>
      <c r="K112" s="6"/>
      <c r="L112" s="6"/>
      <c r="M112" s="6"/>
      <c r="N112" s="6"/>
      <c r="O112" s="7"/>
      <c r="P112" s="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G112">
        <v>0.59294481440000002</v>
      </c>
    </row>
    <row r="113" spans="8:48" x14ac:dyDescent="0.35">
      <c r="H113" s="5"/>
      <c r="I113" s="6"/>
      <c r="J113" s="6"/>
      <c r="K113" s="6"/>
      <c r="L113" s="6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5"/>
      <c r="Z113" s="5"/>
      <c r="AA113" s="5"/>
      <c r="AB113" s="5"/>
      <c r="AC113" s="5"/>
      <c r="AG113">
        <v>0.44913942270000001</v>
      </c>
    </row>
    <row r="114" spans="8:48" x14ac:dyDescent="0.35">
      <c r="H114" s="5"/>
      <c r="I114" s="6"/>
      <c r="J114" s="6"/>
      <c r="K114" s="6"/>
      <c r="L114" s="6"/>
      <c r="M114" s="6"/>
      <c r="N114" s="6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G114">
        <v>0.45376178379999998</v>
      </c>
      <c r="AI114" t="s">
        <v>76</v>
      </c>
      <c r="AJ114" s="52">
        <v>0.45904501800000003</v>
      </c>
      <c r="AK114" s="52">
        <v>0.49399330070000003</v>
      </c>
      <c r="AL114" s="52">
        <v>0.44383644010000001</v>
      </c>
      <c r="AM114" s="52">
        <v>0.5339274195</v>
      </c>
      <c r="AN114" s="52">
        <v>0.45924615769999999</v>
      </c>
      <c r="AO114" s="52">
        <v>0.44259295970000001</v>
      </c>
      <c r="AP114" s="52">
        <v>0.51868578440000002</v>
      </c>
      <c r="AQ114" s="52">
        <v>0.4333017086</v>
      </c>
      <c r="AR114" s="52">
        <v>0.3187731888</v>
      </c>
      <c r="AS114" s="52">
        <v>0.4621883336</v>
      </c>
      <c r="AT114" s="52">
        <v>0.56867999130000002</v>
      </c>
      <c r="AU114" s="52">
        <v>0.5665360693</v>
      </c>
      <c r="AV114" s="52">
        <v>0.50221975770000005</v>
      </c>
    </row>
    <row r="115" spans="8:48" x14ac:dyDescent="0.35">
      <c r="H115" s="5"/>
      <c r="I115" s="6"/>
      <c r="J115" s="6"/>
      <c r="K115" s="6"/>
      <c r="L115" s="6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5"/>
      <c r="Z115" s="5"/>
      <c r="AA115" s="5"/>
      <c r="AB115" s="5"/>
      <c r="AC115" s="5"/>
      <c r="AI115" t="s">
        <v>77</v>
      </c>
      <c r="AJ115" s="52">
        <v>0.43813580520000001</v>
      </c>
      <c r="AK115" s="52">
        <v>0.33695812310000001</v>
      </c>
      <c r="AL115" s="52">
        <v>0.37524028110000002</v>
      </c>
      <c r="AM115" s="52">
        <v>0.45813454739999998</v>
      </c>
      <c r="AN115" s="52">
        <v>0.39830132019999998</v>
      </c>
      <c r="AO115" s="52">
        <v>0.35679984440000001</v>
      </c>
      <c r="AP115" s="52">
        <v>0.41133573359999998</v>
      </c>
      <c r="AQ115" s="52">
        <v>0.37988120289999999</v>
      </c>
      <c r="AR115" s="52">
        <v>0.29228169459999997</v>
      </c>
      <c r="AS115" s="52">
        <v>0.37656336620000003</v>
      </c>
      <c r="AT115" s="52">
        <v>0.52481038769999999</v>
      </c>
      <c r="AU115" s="52">
        <v>0.48265748510000001</v>
      </c>
      <c r="AV115" s="52">
        <v>0.43586751109999999</v>
      </c>
    </row>
    <row r="116" spans="8:48" x14ac:dyDescent="0.35">
      <c r="H116" s="5"/>
      <c r="I116" s="6"/>
      <c r="J116" s="6"/>
      <c r="K116" s="6"/>
      <c r="L116" s="6"/>
      <c r="M116" s="6"/>
      <c r="N116" s="6"/>
      <c r="O116" s="7"/>
      <c r="P116" s="7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I116" t="s">
        <v>78</v>
      </c>
      <c r="AJ116" s="52">
        <v>0.23490238460000001</v>
      </c>
      <c r="AK116" s="52">
        <v>0.18028424509999999</v>
      </c>
      <c r="AL116" s="52">
        <v>0.18806597089999999</v>
      </c>
      <c r="AM116" s="52">
        <v>0.32504056279999999</v>
      </c>
      <c r="AN116" s="52">
        <v>0.30272516960000001</v>
      </c>
      <c r="AO116" s="52">
        <v>0.27835404400000002</v>
      </c>
      <c r="AP116" s="52">
        <v>0.47545111099999998</v>
      </c>
      <c r="AQ116" s="52">
        <v>0.26597619389999999</v>
      </c>
      <c r="AR116" s="52">
        <v>0.29961079350000003</v>
      </c>
      <c r="AS116" s="52">
        <v>0.45393687980000003</v>
      </c>
      <c r="AT116" s="52">
        <v>0.53176670270000004</v>
      </c>
      <c r="AU116" s="52">
        <v>0.51136336049999997</v>
      </c>
      <c r="AV116" s="52">
        <v>0.35253294969999999</v>
      </c>
    </row>
    <row r="117" spans="8:48" x14ac:dyDescent="0.35">
      <c r="H117" s="5"/>
      <c r="I117" s="6"/>
      <c r="J117" s="6"/>
      <c r="K117" s="6"/>
      <c r="L117" s="6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5"/>
      <c r="Z117" s="5"/>
      <c r="AA117" s="5"/>
      <c r="AB117" s="5"/>
      <c r="AC117" s="5"/>
      <c r="AI117" t="s">
        <v>80</v>
      </c>
      <c r="AJ117" s="52">
        <v>0.35045963489999998</v>
      </c>
      <c r="AK117" s="52">
        <v>0.2969296179</v>
      </c>
      <c r="AL117" s="52">
        <v>0.25432121769999999</v>
      </c>
      <c r="AM117" s="52">
        <v>0.36074162310000002</v>
      </c>
      <c r="AN117" s="52">
        <v>0.4311996642</v>
      </c>
      <c r="AO117" s="52">
        <v>0.35645141809999997</v>
      </c>
      <c r="AP117" s="52">
        <v>0.44519263440000001</v>
      </c>
      <c r="AQ117" s="52">
        <v>0.3263106201</v>
      </c>
      <c r="AR117" s="52">
        <v>0.2772847074</v>
      </c>
      <c r="AS117" s="52">
        <v>0.45461325549999998</v>
      </c>
      <c r="AT117" s="52">
        <v>0.58018767680000005</v>
      </c>
      <c r="AU117" s="52">
        <v>0.54528468119999995</v>
      </c>
      <c r="AV117" s="52">
        <v>0.46269163489999998</v>
      </c>
    </row>
    <row r="118" spans="8:48" x14ac:dyDescent="0.35">
      <c r="H118" s="5"/>
      <c r="I118" s="6"/>
      <c r="J118" s="6"/>
      <c r="K118" s="6"/>
      <c r="L118" s="6"/>
      <c r="M118" s="6"/>
      <c r="N118" s="6"/>
      <c r="O118" s="7"/>
      <c r="P118" s="7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I118" t="s">
        <v>81</v>
      </c>
      <c r="AJ118" s="52">
        <v>0.55732971610000004</v>
      </c>
      <c r="AK118" s="52">
        <v>0.50323860819999999</v>
      </c>
      <c r="AL118" s="52">
        <v>0.56155903360000003</v>
      </c>
      <c r="AM118" s="52">
        <v>0.72106042029999995</v>
      </c>
      <c r="AN118" s="52">
        <v>0.62496777000000003</v>
      </c>
      <c r="AO118" s="52">
        <v>0.44825455870000003</v>
      </c>
      <c r="AP118" s="52">
        <v>0.55571435329999996</v>
      </c>
      <c r="AQ118" s="52">
        <v>0.46218544820000002</v>
      </c>
      <c r="AR118" s="52">
        <v>0.34552813570000002</v>
      </c>
      <c r="AS118" s="52">
        <v>0.40553182869999999</v>
      </c>
      <c r="AT118" s="52">
        <v>0.57239220239999999</v>
      </c>
      <c r="AU118" s="52">
        <v>0.57531990150000001</v>
      </c>
      <c r="AV118" s="52">
        <v>0.54742567129999997</v>
      </c>
    </row>
    <row r="119" spans="8:48" x14ac:dyDescent="0.35">
      <c r="H119" s="5"/>
      <c r="I119" s="6"/>
      <c r="J119" s="6"/>
      <c r="K119" s="6"/>
      <c r="L119" s="6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5"/>
      <c r="Z119" s="5"/>
      <c r="AA119" s="5"/>
      <c r="AB119" s="5"/>
      <c r="AC119" s="5"/>
      <c r="AI119" t="s">
        <v>82</v>
      </c>
      <c r="AJ119" s="51">
        <f>(AJ114-AJ118)/(AJ118)</f>
        <v>-0.17634928707509484</v>
      </c>
      <c r="AK119" s="51">
        <f t="shared" ref="AK119:AV119" si="15">(AK114-AK118)/(AK118)</f>
        <v>-1.8371618054244445E-2</v>
      </c>
      <c r="AL119" s="51">
        <f t="shared" si="15"/>
        <v>-0.20963529469967379</v>
      </c>
      <c r="AM119" s="51">
        <f t="shared" si="15"/>
        <v>-0.25952471600388571</v>
      </c>
      <c r="AN119" s="51">
        <f t="shared" si="15"/>
        <v>-0.26516825387651594</v>
      </c>
      <c r="AO119" s="51">
        <f t="shared" si="15"/>
        <v>-1.263032107563933E-2</v>
      </c>
      <c r="AP119" s="51">
        <f t="shared" si="15"/>
        <v>-6.6632378091573671E-2</v>
      </c>
      <c r="AQ119" s="51">
        <f t="shared" si="15"/>
        <v>-6.249383166970944E-2</v>
      </c>
      <c r="AR119" s="51">
        <f>(AR114-AR118)/(AR118)</f>
        <v>-7.7432035587485792E-2</v>
      </c>
      <c r="AS119" s="51">
        <f t="shared" si="15"/>
        <v>0.13970914461047831</v>
      </c>
      <c r="AT119" s="51">
        <f t="shared" si="15"/>
        <v>-6.4854326883471425E-3</v>
      </c>
      <c r="AU119" s="51">
        <f t="shared" si="15"/>
        <v>-1.5267735701647734E-2</v>
      </c>
      <c r="AV119" s="51">
        <f t="shared" si="15"/>
        <v>-8.2579089673758099E-2</v>
      </c>
    </row>
    <row r="120" spans="8:48" x14ac:dyDescent="0.35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I120">
        <v>0.44004261150000001</v>
      </c>
    </row>
    <row r="121" spans="8:48" x14ac:dyDescent="0.35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I121">
        <v>0.43571202139999998</v>
      </c>
    </row>
    <row r="122" spans="8:48" x14ac:dyDescent="0.35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I122">
        <v>0.46040124700000001</v>
      </c>
    </row>
    <row r="123" spans="8:48" x14ac:dyDescent="0.35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I123">
        <v>0.53213886960000001</v>
      </c>
    </row>
    <row r="124" spans="8:48" x14ac:dyDescent="0.35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I124">
        <v>0.47986962239999997</v>
      </c>
    </row>
    <row r="125" spans="8:48" x14ac:dyDescent="0.35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I125">
        <v>0.6442783487</v>
      </c>
    </row>
    <row r="126" spans="8:48" x14ac:dyDescent="0.35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I126">
        <v>0.46299602519999999</v>
      </c>
    </row>
    <row r="127" spans="8:48" x14ac:dyDescent="0.35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I127">
        <v>0.44004261150000001</v>
      </c>
    </row>
    <row r="128" spans="8:48" x14ac:dyDescent="0.35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I128">
        <v>0.43571202139999998</v>
      </c>
    </row>
    <row r="129" spans="35:35" x14ac:dyDescent="0.35">
      <c r="AI129">
        <v>0.46040124700000001</v>
      </c>
    </row>
    <row r="130" spans="35:35" x14ac:dyDescent="0.35">
      <c r="AI130">
        <v>0.53213886960000001</v>
      </c>
    </row>
    <row r="131" spans="35:35" x14ac:dyDescent="0.35">
      <c r="AI131">
        <v>0.47986962239999997</v>
      </c>
    </row>
    <row r="132" spans="35:35" x14ac:dyDescent="0.35">
      <c r="AI132">
        <v>0.6442783487</v>
      </c>
    </row>
    <row r="133" spans="35:35" x14ac:dyDescent="0.35">
      <c r="AI133">
        <v>0.46299602519999999</v>
      </c>
    </row>
    <row r="134" spans="35:35" x14ac:dyDescent="0.35">
      <c r="AI134">
        <v>0.36377334979999998</v>
      </c>
    </row>
    <row r="135" spans="35:35" x14ac:dyDescent="0.35">
      <c r="AI135">
        <v>0.37341024769999998</v>
      </c>
    </row>
    <row r="136" spans="35:35" x14ac:dyDescent="0.35">
      <c r="AI136">
        <v>0.3304778183</v>
      </c>
    </row>
    <row r="137" spans="35:35" x14ac:dyDescent="0.35">
      <c r="AI137">
        <v>0.5755774495</v>
      </c>
    </row>
    <row r="138" spans="35:35" x14ac:dyDescent="0.35">
      <c r="AI138">
        <v>0.5436506351</v>
      </c>
    </row>
    <row r="139" spans="35:35" x14ac:dyDescent="0.35">
      <c r="AI139">
        <v>0.55732971610000004</v>
      </c>
    </row>
    <row r="140" spans="35:35" x14ac:dyDescent="0.35">
      <c r="AI140">
        <v>0.50323860819999999</v>
      </c>
    </row>
    <row r="141" spans="35:35" x14ac:dyDescent="0.35">
      <c r="AI141">
        <v>0.56155903360000003</v>
      </c>
    </row>
    <row r="142" spans="35:35" x14ac:dyDescent="0.35">
      <c r="AI142">
        <v>0.72106042029999995</v>
      </c>
    </row>
    <row r="143" spans="35:35" x14ac:dyDescent="0.35">
      <c r="AI143">
        <v>0.62496777000000003</v>
      </c>
    </row>
    <row r="144" spans="35:35" x14ac:dyDescent="0.35">
      <c r="AI144">
        <v>0.44825455870000003</v>
      </c>
    </row>
    <row r="145" spans="35:35" x14ac:dyDescent="0.35">
      <c r="AI145">
        <v>0.55571435329999996</v>
      </c>
    </row>
    <row r="146" spans="35:35" x14ac:dyDescent="0.35">
      <c r="AI146">
        <v>0.46218544820000002</v>
      </c>
    </row>
    <row r="147" spans="35:35" x14ac:dyDescent="0.35">
      <c r="AI147">
        <v>0.34552813570000002</v>
      </c>
    </row>
    <row r="148" spans="35:35" x14ac:dyDescent="0.35">
      <c r="AI148">
        <v>0.40553182869999999</v>
      </c>
    </row>
    <row r="149" spans="35:35" x14ac:dyDescent="0.35">
      <c r="AI149">
        <v>0.57239220239999999</v>
      </c>
    </row>
    <row r="150" spans="35:35" x14ac:dyDescent="0.35">
      <c r="AI150">
        <v>0.57531990150000001</v>
      </c>
    </row>
    <row r="151" spans="35:35" x14ac:dyDescent="0.35">
      <c r="AI151">
        <v>0.54742567129999997</v>
      </c>
    </row>
  </sheetData>
  <mergeCells count="54">
    <mergeCell ref="T6:T7"/>
    <mergeCell ref="S6:S7"/>
    <mergeCell ref="R6:R7"/>
    <mergeCell ref="Q6:Q7"/>
    <mergeCell ref="P6:P7"/>
    <mergeCell ref="O6:O7"/>
    <mergeCell ref="K25:L25"/>
    <mergeCell ref="K26:L26"/>
    <mergeCell ref="K27:L27"/>
    <mergeCell ref="E28:F31"/>
    <mergeCell ref="G28:J31"/>
    <mergeCell ref="K28:L28"/>
    <mergeCell ref="K29:L29"/>
    <mergeCell ref="K30:L30"/>
    <mergeCell ref="K31:L31"/>
    <mergeCell ref="K12:L12"/>
    <mergeCell ref="K13:L13"/>
    <mergeCell ref="K14:L14"/>
    <mergeCell ref="K15:L15"/>
    <mergeCell ref="G16:J19"/>
    <mergeCell ref="K16:L16"/>
    <mergeCell ref="D20:D31"/>
    <mergeCell ref="E20:F23"/>
    <mergeCell ref="G20:J23"/>
    <mergeCell ref="K20:L20"/>
    <mergeCell ref="K21:L21"/>
    <mergeCell ref="K22:L22"/>
    <mergeCell ref="K23:L23"/>
    <mergeCell ref="E24:F27"/>
    <mergeCell ref="G24:J27"/>
    <mergeCell ref="K24:L24"/>
    <mergeCell ref="K17:L17"/>
    <mergeCell ref="K18:L18"/>
    <mergeCell ref="K19:L19"/>
    <mergeCell ref="D8:D19"/>
    <mergeCell ref="E8:F19"/>
    <mergeCell ref="G8:J11"/>
    <mergeCell ref="K8:L8"/>
    <mergeCell ref="K9:L9"/>
    <mergeCell ref="K10:L10"/>
    <mergeCell ref="K11:L11"/>
    <mergeCell ref="G12:J15"/>
    <mergeCell ref="D6:D7"/>
    <mergeCell ref="E6:F7"/>
    <mergeCell ref="G6:J7"/>
    <mergeCell ref="K6:L7"/>
    <mergeCell ref="N6:N7"/>
    <mergeCell ref="M6:M7"/>
    <mergeCell ref="D2:T2"/>
    <mergeCell ref="D3:T4"/>
    <mergeCell ref="E5:F5"/>
    <mergeCell ref="G5:J5"/>
    <mergeCell ref="K5:L5"/>
    <mergeCell ref="M5:T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4"/>
  <sheetViews>
    <sheetView topLeftCell="H141" zoomScale="80" zoomScaleNormal="80" workbookViewId="0">
      <selection activeCell="J168" sqref="J168"/>
    </sheetView>
  </sheetViews>
  <sheetFormatPr defaultRowHeight="14.5" x14ac:dyDescent="0.35"/>
  <cols>
    <col min="2" max="2" width="6.1796875" customWidth="1"/>
    <col min="3" max="3" width="9.1796875" hidden="1" customWidth="1"/>
    <col min="4" max="4" width="9.1796875" customWidth="1"/>
    <col min="5" max="5" width="11.453125" customWidth="1"/>
    <col min="6" max="6" width="27" customWidth="1"/>
    <col min="10" max="10" width="12.81640625" customWidth="1"/>
    <col min="11" max="11" width="15.453125" customWidth="1"/>
    <col min="13" max="13" width="20" customWidth="1"/>
    <col min="14" max="14" width="18.26953125" customWidth="1"/>
    <col min="15" max="15" width="14.26953125" customWidth="1"/>
    <col min="16" max="16" width="15" customWidth="1"/>
    <col min="17" max="17" width="19.90625" customWidth="1"/>
    <col min="18" max="18" width="17" customWidth="1"/>
  </cols>
  <sheetData>
    <row r="1" spans="1: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1"/>
      <c r="T1" s="2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39.75" customHeight="1" x14ac:dyDescent="0.55000000000000004">
      <c r="A2" s="1"/>
      <c r="B2" s="1"/>
      <c r="C2" s="1"/>
      <c r="D2" s="107" t="s">
        <v>8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22"/>
      <c r="T2" s="22"/>
      <c r="U2" s="1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" customHeight="1" x14ac:dyDescent="0.35">
      <c r="A3" s="1"/>
      <c r="B3" s="1"/>
      <c r="C3" s="1"/>
      <c r="D3" s="106" t="s">
        <v>9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23"/>
      <c r="T3" s="23"/>
      <c r="U3" s="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49.5" customHeight="1" x14ac:dyDescent="0.35">
      <c r="A4" s="1"/>
      <c r="B4" s="1"/>
      <c r="C4" s="1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24"/>
      <c r="T4" s="24"/>
      <c r="U4" s="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35">
      <c r="A5" s="1"/>
      <c r="B5" s="1"/>
      <c r="C5" s="1"/>
      <c r="D5" s="20" t="s">
        <v>0</v>
      </c>
      <c r="E5" s="139" t="s">
        <v>32</v>
      </c>
      <c r="F5" s="139"/>
      <c r="G5" s="140" t="s">
        <v>2</v>
      </c>
      <c r="H5" s="141"/>
      <c r="I5" s="141"/>
      <c r="J5" s="142"/>
      <c r="K5" s="143" t="s">
        <v>15</v>
      </c>
      <c r="L5" s="144"/>
      <c r="M5" s="140" t="s">
        <v>3</v>
      </c>
      <c r="N5" s="141"/>
      <c r="O5" s="141"/>
      <c r="P5" s="141"/>
      <c r="Q5" s="141"/>
      <c r="R5" s="141"/>
      <c r="S5" s="25"/>
      <c r="T5" s="25"/>
      <c r="U5" s="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5">
      <c r="A6" s="1"/>
      <c r="B6" s="1"/>
      <c r="C6" s="1"/>
      <c r="D6" s="113"/>
      <c r="E6" s="113"/>
      <c r="F6" s="113"/>
      <c r="G6" s="114"/>
      <c r="H6" s="115"/>
      <c r="I6" s="115"/>
      <c r="J6" s="116"/>
      <c r="K6" s="108"/>
      <c r="L6" s="108"/>
      <c r="M6" s="102" t="s">
        <v>19</v>
      </c>
      <c r="N6" s="102" t="s">
        <v>20</v>
      </c>
      <c r="O6" s="102" t="s">
        <v>21</v>
      </c>
      <c r="P6" s="102" t="s">
        <v>35</v>
      </c>
      <c r="Q6" s="102" t="s">
        <v>36</v>
      </c>
      <c r="R6" s="102" t="s">
        <v>37</v>
      </c>
      <c r="S6" s="8"/>
      <c r="T6" s="8"/>
      <c r="U6" s="1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35">
      <c r="A7" s="1"/>
      <c r="B7" s="1"/>
      <c r="C7" s="1"/>
      <c r="D7" s="113"/>
      <c r="E7" s="113"/>
      <c r="F7" s="113"/>
      <c r="G7" s="117"/>
      <c r="H7" s="118"/>
      <c r="I7" s="118"/>
      <c r="J7" s="119"/>
      <c r="K7" s="108"/>
      <c r="L7" s="108"/>
      <c r="M7" s="102"/>
      <c r="N7" s="102"/>
      <c r="O7" s="102"/>
      <c r="P7" s="102"/>
      <c r="Q7" s="102"/>
      <c r="R7" s="102"/>
      <c r="S7" s="8"/>
      <c r="T7" s="8"/>
      <c r="U7" s="1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35">
      <c r="A8" s="1"/>
      <c r="B8" s="1"/>
      <c r="C8" s="1"/>
      <c r="D8" s="128" t="s">
        <v>10</v>
      </c>
      <c r="E8" s="122" t="s">
        <v>33</v>
      </c>
      <c r="F8" s="123"/>
      <c r="G8" s="108" t="s">
        <v>29</v>
      </c>
      <c r="H8" s="108"/>
      <c r="I8" s="108"/>
      <c r="J8" s="108"/>
      <c r="K8" s="109" t="s">
        <v>30</v>
      </c>
      <c r="L8" s="109"/>
      <c r="M8" s="27">
        <v>0.17646800000000001</v>
      </c>
      <c r="N8" s="27">
        <v>8.8158E-2</v>
      </c>
      <c r="O8" s="27">
        <v>3.908E-3</v>
      </c>
      <c r="P8" s="27">
        <v>120</v>
      </c>
      <c r="Q8" s="27">
        <v>0.82015000000000005</v>
      </c>
      <c r="R8" s="27">
        <v>-0.99522600000000006</v>
      </c>
      <c r="S8" s="26"/>
      <c r="T8" s="26"/>
      <c r="U8" s="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35">
      <c r="A9" s="1"/>
      <c r="B9" s="1"/>
      <c r="C9" s="1"/>
      <c r="D9" s="129"/>
      <c r="E9" s="124"/>
      <c r="F9" s="125"/>
      <c r="G9" s="108"/>
      <c r="H9" s="108"/>
      <c r="I9" s="108"/>
      <c r="J9" s="108"/>
      <c r="K9" s="110" t="s">
        <v>39</v>
      </c>
      <c r="L9" s="110"/>
      <c r="M9" s="28">
        <v>0.198321</v>
      </c>
      <c r="N9" s="28">
        <v>0.103009</v>
      </c>
      <c r="O9" s="28">
        <v>4.64E-3</v>
      </c>
      <c r="P9" s="28">
        <v>132</v>
      </c>
      <c r="Q9" s="28">
        <v>0.81217499999999998</v>
      </c>
      <c r="R9" s="28">
        <v>-1.0301290000000001</v>
      </c>
      <c r="S9" s="26"/>
      <c r="T9" s="26"/>
      <c r="U9" s="1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35">
      <c r="A10" s="1"/>
      <c r="B10" s="1"/>
      <c r="C10" s="1"/>
      <c r="D10" s="129"/>
      <c r="E10" s="124"/>
      <c r="F10" s="125"/>
      <c r="G10" s="108"/>
      <c r="H10" s="108"/>
      <c r="I10" s="108"/>
      <c r="J10" s="108"/>
      <c r="K10" s="111" t="s">
        <v>31</v>
      </c>
      <c r="L10" s="112"/>
      <c r="M10" s="27">
        <v>0.22781699999999999</v>
      </c>
      <c r="N10" s="27">
        <v>0.12594900000000001</v>
      </c>
      <c r="O10" s="27">
        <v>5.8710000000000004E-3</v>
      </c>
      <c r="P10" s="27">
        <v>143</v>
      </c>
      <c r="Q10" s="27">
        <v>0.79949400000000004</v>
      </c>
      <c r="R10" s="27">
        <v>-1.047005</v>
      </c>
      <c r="S10" s="26"/>
      <c r="T10" s="26"/>
      <c r="U10" s="1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x14ac:dyDescent="0.35">
      <c r="A11" s="1"/>
      <c r="B11" s="1"/>
      <c r="C11" s="1"/>
      <c r="D11" s="129"/>
      <c r="E11" s="126"/>
      <c r="F11" s="127"/>
      <c r="G11" s="108"/>
      <c r="H11" s="108"/>
      <c r="I11" s="108"/>
      <c r="J11" s="108"/>
      <c r="K11" s="120" t="s">
        <v>40</v>
      </c>
      <c r="L11" s="121"/>
      <c r="M11" s="33">
        <v>0.27335300000000001</v>
      </c>
      <c r="N11" s="33">
        <v>0.18811900000000001</v>
      </c>
      <c r="O11" s="33">
        <v>1.042E-2</v>
      </c>
      <c r="P11" s="34">
        <v>129</v>
      </c>
      <c r="Q11" s="33">
        <v>0.82015000000000005</v>
      </c>
      <c r="R11" s="35">
        <v>-0.99522600000000006</v>
      </c>
      <c r="S11" s="26"/>
      <c r="T11" s="26"/>
      <c r="U11" s="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x14ac:dyDescent="0.35">
      <c r="A12" s="1"/>
      <c r="B12" s="1"/>
      <c r="C12" s="1"/>
      <c r="D12" s="128" t="s">
        <v>47</v>
      </c>
      <c r="E12" s="122" t="s">
        <v>25</v>
      </c>
      <c r="F12" s="123"/>
      <c r="G12" s="108" t="s">
        <v>38</v>
      </c>
      <c r="H12" s="108"/>
      <c r="I12" s="108"/>
      <c r="J12" s="108"/>
      <c r="K12" s="109" t="s">
        <v>41</v>
      </c>
      <c r="L12" s="109"/>
      <c r="M12" s="27">
        <v>0.50558999999999998</v>
      </c>
      <c r="N12" s="27">
        <v>0.415769</v>
      </c>
      <c r="O12" s="27">
        <v>2.9503000000000001E-2</v>
      </c>
      <c r="P12" s="27">
        <v>185</v>
      </c>
      <c r="Q12" s="27">
        <v>0.694245</v>
      </c>
      <c r="R12" s="27">
        <v>-1.2224219999999999</v>
      </c>
      <c r="S12" s="26"/>
      <c r="T12" s="26"/>
      <c r="U12" s="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x14ac:dyDescent="0.35">
      <c r="A13" s="1"/>
      <c r="B13" s="1"/>
      <c r="C13" s="1"/>
      <c r="D13" s="129"/>
      <c r="E13" s="124"/>
      <c r="F13" s="125"/>
      <c r="G13" s="108"/>
      <c r="H13" s="108"/>
      <c r="I13" s="108"/>
      <c r="J13" s="108"/>
      <c r="K13" s="110" t="s">
        <v>42</v>
      </c>
      <c r="L13" s="110"/>
      <c r="M13" s="28">
        <v>0.506629</v>
      </c>
      <c r="N13" s="28">
        <v>0.41648299999999999</v>
      </c>
      <c r="O13" s="28">
        <v>2.9729999999999999E-2</v>
      </c>
      <c r="P13" s="28">
        <v>187</v>
      </c>
      <c r="Q13" s="28">
        <v>0.693747</v>
      </c>
      <c r="R13" s="28">
        <v>-1.228872</v>
      </c>
      <c r="S13" s="26"/>
      <c r="T13" s="26"/>
      <c r="U13" s="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35">
      <c r="A14" s="1"/>
      <c r="B14" s="1"/>
      <c r="C14" s="1"/>
      <c r="D14" s="129"/>
      <c r="E14" s="124"/>
      <c r="F14" s="125"/>
      <c r="G14" s="108"/>
      <c r="H14" s="108"/>
      <c r="I14" s="108"/>
      <c r="J14" s="108"/>
      <c r="K14" s="109" t="s">
        <v>43</v>
      </c>
      <c r="L14" s="109"/>
      <c r="M14" s="32">
        <v>0.50852399999999998</v>
      </c>
      <c r="N14" s="32">
        <v>0.41818699999999998</v>
      </c>
      <c r="O14" s="32">
        <v>3.0211999999999999E-2</v>
      </c>
      <c r="P14" s="32">
        <v>189</v>
      </c>
      <c r="Q14" s="32">
        <v>0.68921399999999999</v>
      </c>
      <c r="R14" s="32">
        <v>-1.2351099999999999</v>
      </c>
      <c r="S14" s="26"/>
      <c r="T14" s="26"/>
      <c r="U14" s="1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x14ac:dyDescent="0.35">
      <c r="A15" s="1"/>
      <c r="B15" s="1"/>
      <c r="C15" s="1"/>
      <c r="D15" s="129"/>
      <c r="E15" s="124"/>
      <c r="F15" s="125"/>
      <c r="G15" s="108"/>
      <c r="H15" s="108"/>
      <c r="I15" s="108"/>
      <c r="J15" s="108"/>
      <c r="K15" s="110" t="s">
        <v>44</v>
      </c>
      <c r="L15" s="110"/>
      <c r="M15" s="28">
        <v>0.50597300000000001</v>
      </c>
      <c r="N15" s="28">
        <v>0.42472799999999999</v>
      </c>
      <c r="O15" s="28">
        <v>3.4550999999999998E-2</v>
      </c>
      <c r="P15" s="31">
        <v>177</v>
      </c>
      <c r="Q15" s="31">
        <v>0.68540100000000004</v>
      </c>
      <c r="R15" s="31">
        <v>-1.2067749999999999</v>
      </c>
      <c r="S15" s="26"/>
      <c r="T15" s="26"/>
      <c r="U15" s="1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35">
      <c r="A16" s="1"/>
      <c r="B16" s="1"/>
      <c r="C16" s="1"/>
      <c r="D16" s="129"/>
      <c r="E16" s="124"/>
      <c r="F16" s="125"/>
      <c r="G16" s="108"/>
      <c r="H16" s="108"/>
      <c r="I16" s="108"/>
      <c r="J16" s="108"/>
      <c r="K16" s="109" t="s">
        <v>45</v>
      </c>
      <c r="L16" s="109"/>
      <c r="M16" s="27">
        <v>0.47901300000000002</v>
      </c>
      <c r="N16" s="27">
        <v>0.42165399999999997</v>
      </c>
      <c r="O16" s="27">
        <v>5.1840999999999998E-2</v>
      </c>
      <c r="P16" s="27">
        <v>112</v>
      </c>
      <c r="Q16" s="27">
        <v>0.66412099999999996</v>
      </c>
      <c r="R16" s="27">
        <v>-0.96019399999999999</v>
      </c>
      <c r="S16" s="26"/>
      <c r="T16" s="26"/>
      <c r="U16" s="1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35">
      <c r="A17" s="1"/>
      <c r="B17" s="1"/>
      <c r="C17" s="1"/>
      <c r="D17" s="130"/>
      <c r="E17" s="126"/>
      <c r="F17" s="127"/>
      <c r="G17" s="108"/>
      <c r="H17" s="108"/>
      <c r="I17" s="108"/>
      <c r="J17" s="108"/>
      <c r="K17" s="110" t="s">
        <v>46</v>
      </c>
      <c r="L17" s="110"/>
      <c r="M17" s="30">
        <v>5.7762000000000001E-2</v>
      </c>
      <c r="N17" s="30">
        <v>3.4737999999999998E-2</v>
      </c>
      <c r="O17" s="30">
        <v>2.4550000000000002E-3</v>
      </c>
      <c r="P17" s="30">
        <v>27</v>
      </c>
      <c r="Q17" s="30">
        <v>0.62182899999999997</v>
      </c>
      <c r="R17" s="30">
        <v>-0.45506000000000002</v>
      </c>
      <c r="S17" s="26"/>
      <c r="T17" s="26"/>
      <c r="U17" s="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35">
      <c r="A18" s="1"/>
      <c r="B18" s="1"/>
      <c r="C18" s="1"/>
      <c r="D18" s="128" t="s">
        <v>61</v>
      </c>
      <c r="E18" s="122" t="s">
        <v>27</v>
      </c>
      <c r="F18" s="123"/>
      <c r="G18" s="108" t="s">
        <v>52</v>
      </c>
      <c r="H18" s="108"/>
      <c r="I18" s="108"/>
      <c r="J18" s="108"/>
      <c r="K18" s="110" t="s">
        <v>53</v>
      </c>
      <c r="L18" s="110"/>
      <c r="M18" s="28">
        <v>0.32127600000000001</v>
      </c>
      <c r="N18" s="28">
        <v>0.19722300000000001</v>
      </c>
      <c r="O18" s="28">
        <v>9.1269999999999997E-3</v>
      </c>
      <c r="P18" s="28">
        <v>202</v>
      </c>
      <c r="Q18" s="35">
        <v>0.77464100000000002</v>
      </c>
      <c r="R18" s="28">
        <v>-1.179343</v>
      </c>
      <c r="S18" s="26"/>
      <c r="T18" s="26"/>
      <c r="U18" s="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x14ac:dyDescent="0.35">
      <c r="A19" s="1"/>
      <c r="B19" s="1"/>
      <c r="C19" s="1"/>
      <c r="D19" s="129"/>
      <c r="E19" s="124"/>
      <c r="F19" s="125"/>
      <c r="G19" s="108"/>
      <c r="H19" s="108"/>
      <c r="I19" s="108"/>
      <c r="J19" s="108"/>
      <c r="K19" s="111" t="s">
        <v>55</v>
      </c>
      <c r="L19" s="112"/>
      <c r="M19" s="27">
        <v>0.34637299999999999</v>
      </c>
      <c r="N19" s="27">
        <v>0.22225700000000001</v>
      </c>
      <c r="O19" s="27">
        <v>9.469E-3</v>
      </c>
      <c r="P19" s="27">
        <v>207</v>
      </c>
      <c r="Q19" s="27">
        <v>0.75600900000000004</v>
      </c>
      <c r="R19" s="27">
        <v>-1.216685</v>
      </c>
      <c r="S19" s="26"/>
      <c r="T19" s="26"/>
      <c r="U19" s="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x14ac:dyDescent="0.35">
      <c r="A20" s="1"/>
      <c r="B20" s="1"/>
      <c r="C20" s="1"/>
      <c r="D20" s="129"/>
      <c r="E20" s="124"/>
      <c r="F20" s="125"/>
      <c r="G20" s="108"/>
      <c r="H20" s="108"/>
      <c r="I20" s="108"/>
      <c r="J20" s="108"/>
      <c r="K20" s="110" t="s">
        <v>54</v>
      </c>
      <c r="L20" s="110"/>
      <c r="M20" s="35">
        <v>0.35832399999999998</v>
      </c>
      <c r="N20" s="35">
        <v>0.23536499999999999</v>
      </c>
      <c r="O20" s="35">
        <v>1.0159E-2</v>
      </c>
      <c r="P20" s="39">
        <v>207</v>
      </c>
      <c r="Q20" s="39">
        <v>0.74780500000000005</v>
      </c>
      <c r="R20" s="39">
        <v>-1.2263949999999999</v>
      </c>
      <c r="S20" s="26"/>
      <c r="T20" s="26"/>
      <c r="U20" s="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35">
      <c r="A21" s="1"/>
      <c r="B21" s="1"/>
      <c r="C21" s="1"/>
      <c r="D21" s="129"/>
      <c r="E21" s="126"/>
      <c r="F21" s="127"/>
      <c r="G21" s="108"/>
      <c r="H21" s="108"/>
      <c r="I21" s="108"/>
      <c r="J21" s="108"/>
      <c r="K21" s="111" t="s">
        <v>56</v>
      </c>
      <c r="L21" s="112"/>
      <c r="M21" s="27">
        <v>0.30877199999999999</v>
      </c>
      <c r="N21" s="27">
        <v>0.21479999999999999</v>
      </c>
      <c r="O21" s="27">
        <v>1.3025E-2</v>
      </c>
      <c r="P21" s="27">
        <v>148</v>
      </c>
      <c r="Q21" s="27">
        <v>0.69025099999999995</v>
      </c>
      <c r="R21" s="36">
        <v>-1.07013</v>
      </c>
      <c r="S21" s="26"/>
      <c r="T21" s="26"/>
      <c r="U21" s="1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x14ac:dyDescent="0.35">
      <c r="A22" s="1"/>
      <c r="B22" s="1"/>
      <c r="C22" s="1"/>
      <c r="D22" s="129" t="s">
        <v>62</v>
      </c>
      <c r="E22" s="122" t="s">
        <v>59</v>
      </c>
      <c r="F22" s="123"/>
      <c r="G22" s="108" t="s">
        <v>60</v>
      </c>
      <c r="H22" s="108"/>
      <c r="I22" s="108"/>
      <c r="J22" s="108"/>
      <c r="K22" s="110" t="s">
        <v>64</v>
      </c>
      <c r="L22" s="110"/>
      <c r="M22" s="39">
        <v>0.23472100000000001</v>
      </c>
      <c r="N22" s="35">
        <v>0.14421100000000001</v>
      </c>
      <c r="O22" s="35">
        <v>1.0604000000000001E-2</v>
      </c>
      <c r="P22" s="28">
        <v>131</v>
      </c>
      <c r="Q22" s="39">
        <v>0.66922899999999996</v>
      </c>
      <c r="R22" s="39">
        <v>-9.8399399999999998E-2</v>
      </c>
      <c r="S22" s="26"/>
      <c r="T22" s="26"/>
      <c r="U22" s="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35">
      <c r="A23" s="1"/>
      <c r="B23" s="1"/>
      <c r="C23" s="1"/>
      <c r="D23" s="129"/>
      <c r="E23" s="124"/>
      <c r="F23" s="125"/>
      <c r="G23" s="108"/>
      <c r="H23" s="108"/>
      <c r="I23" s="108"/>
      <c r="J23" s="108"/>
      <c r="K23" s="111" t="s">
        <v>65</v>
      </c>
      <c r="L23" s="112"/>
      <c r="M23" s="36">
        <v>0.23739399999999999</v>
      </c>
      <c r="N23" s="27">
        <v>0.13527400000000001</v>
      </c>
      <c r="O23" s="27">
        <v>1.0531E-2</v>
      </c>
      <c r="P23" s="27">
        <v>158</v>
      </c>
      <c r="Q23" s="36">
        <v>0.66971099999999995</v>
      </c>
      <c r="R23" s="27">
        <v>-9.8791260000000006E-2</v>
      </c>
      <c r="S23" s="26"/>
      <c r="T23" s="26"/>
      <c r="U23" s="1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x14ac:dyDescent="0.35">
      <c r="A24" s="1"/>
      <c r="B24" s="1"/>
      <c r="C24" s="1"/>
      <c r="D24" s="129"/>
      <c r="E24" s="124"/>
      <c r="F24" s="125"/>
      <c r="G24" s="108"/>
      <c r="H24" s="108"/>
      <c r="I24" s="108"/>
      <c r="J24" s="108"/>
      <c r="K24" s="110" t="s">
        <v>66</v>
      </c>
      <c r="L24" s="110"/>
      <c r="M24" s="39">
        <v>0.10822900000000001</v>
      </c>
      <c r="N24" s="39">
        <v>5.0576000000000003E-2</v>
      </c>
      <c r="O24" s="39">
        <v>3.6570000000000001E-3</v>
      </c>
      <c r="P24" s="39">
        <v>76</v>
      </c>
      <c r="Q24" s="39">
        <v>0.60570000000000002</v>
      </c>
      <c r="R24" s="35">
        <v>-7.5989349999999997E-2</v>
      </c>
      <c r="S24" s="26"/>
      <c r="T24" s="26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x14ac:dyDescent="0.35">
      <c r="A25" s="1"/>
      <c r="B25" s="1"/>
      <c r="C25" s="1"/>
      <c r="D25" s="129"/>
      <c r="E25" s="126"/>
      <c r="F25" s="127"/>
      <c r="G25" s="108"/>
      <c r="H25" s="108"/>
      <c r="I25" s="108"/>
      <c r="J25" s="108"/>
      <c r="K25" s="111" t="s">
        <v>67</v>
      </c>
      <c r="L25" s="112"/>
      <c r="M25" s="40">
        <v>2.6515E-2</v>
      </c>
      <c r="N25" s="40">
        <v>7.0100000000000002E-4</v>
      </c>
      <c r="O25" s="40">
        <v>1.2725999999999999E-2</v>
      </c>
      <c r="P25" s="40">
        <v>13</v>
      </c>
      <c r="Q25" s="40">
        <v>0.60570000000000002</v>
      </c>
      <c r="R25" s="40">
        <v>-7.5989349999999997E-2</v>
      </c>
      <c r="S25" s="26"/>
      <c r="T25" s="26"/>
      <c r="U25" s="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x14ac:dyDescent="0.35">
      <c r="A26" s="1"/>
      <c r="B26" s="1"/>
      <c r="C26" s="1"/>
      <c r="D26" s="129" t="s">
        <v>63</v>
      </c>
      <c r="E26" s="122" t="s">
        <v>57</v>
      </c>
      <c r="F26" s="123"/>
      <c r="G26" s="108" t="s">
        <v>58</v>
      </c>
      <c r="H26" s="108"/>
      <c r="I26" s="108"/>
      <c r="J26" s="108"/>
      <c r="K26" s="110" t="s">
        <v>69</v>
      </c>
      <c r="L26" s="110"/>
      <c r="M26" s="35">
        <v>0.33607599999999999</v>
      </c>
      <c r="N26" s="35">
        <v>0.24695800000000001</v>
      </c>
      <c r="O26" s="35">
        <v>1.5702000000000001E-2</v>
      </c>
      <c r="P26" s="28">
        <v>152</v>
      </c>
      <c r="Q26" s="35">
        <v>0.67168399999999995</v>
      </c>
      <c r="R26" s="39">
        <v>-1.061153</v>
      </c>
      <c r="S26" s="26"/>
      <c r="T26" s="26"/>
      <c r="U26" s="1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x14ac:dyDescent="0.35">
      <c r="A27" s="1"/>
      <c r="B27" s="1"/>
      <c r="C27" s="1"/>
      <c r="D27" s="129"/>
      <c r="E27" s="124"/>
      <c r="F27" s="125"/>
      <c r="G27" s="108"/>
      <c r="H27" s="108"/>
      <c r="I27" s="108"/>
      <c r="J27" s="108"/>
      <c r="K27" s="111" t="s">
        <v>70</v>
      </c>
      <c r="L27" s="112"/>
      <c r="M27" s="27">
        <v>0.20791699999999999</v>
      </c>
      <c r="N27" s="27">
        <v>0.13305</v>
      </c>
      <c r="O27" s="27">
        <v>1.0137E-2</v>
      </c>
      <c r="P27" s="27">
        <v>110</v>
      </c>
      <c r="Q27" s="27">
        <v>0.65011699999999994</v>
      </c>
      <c r="R27" s="27">
        <v>-0.91913900000000004</v>
      </c>
      <c r="S27" s="26"/>
      <c r="T27" s="26"/>
      <c r="U27" s="1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x14ac:dyDescent="0.35">
      <c r="A28" s="1"/>
      <c r="B28" s="1"/>
      <c r="C28" s="1"/>
      <c r="D28" s="129"/>
      <c r="E28" s="124"/>
      <c r="F28" s="125"/>
      <c r="G28" s="108"/>
      <c r="H28" s="108"/>
      <c r="I28" s="108"/>
      <c r="J28" s="108"/>
      <c r="K28" s="110" t="s">
        <v>72</v>
      </c>
      <c r="L28" s="110"/>
      <c r="M28" s="39">
        <v>0.17142099999999999</v>
      </c>
      <c r="N28" s="39">
        <v>0.105909</v>
      </c>
      <c r="O28" s="39">
        <v>8.1329999999999996E-3</v>
      </c>
      <c r="P28" s="39">
        <v>92</v>
      </c>
      <c r="Q28" s="39">
        <v>0.63596299999999995</v>
      </c>
      <c r="R28" s="35">
        <v>-0.85030600000000001</v>
      </c>
      <c r="S28" s="26"/>
      <c r="T28" s="26"/>
      <c r="U28" s="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35">
      <c r="A29" s="1"/>
      <c r="B29" s="1"/>
      <c r="C29" s="1"/>
      <c r="D29" s="130"/>
      <c r="E29" s="126"/>
      <c r="F29" s="127"/>
      <c r="G29" s="108"/>
      <c r="H29" s="108"/>
      <c r="I29" s="108"/>
      <c r="J29" s="108"/>
      <c r="K29" s="111" t="s">
        <v>71</v>
      </c>
      <c r="L29" s="112"/>
      <c r="M29" s="40">
        <v>0.10179000000000001</v>
      </c>
      <c r="N29" s="40">
        <v>5.6898999999999998E-2</v>
      </c>
      <c r="O29" s="40">
        <v>5.4479999999999997E-3</v>
      </c>
      <c r="P29" s="40">
        <v>61</v>
      </c>
      <c r="Q29" s="40">
        <v>0.59384000000000003</v>
      </c>
      <c r="R29" s="40">
        <v>-0.61219100000000004</v>
      </c>
      <c r="S29" s="26"/>
      <c r="T29" s="26"/>
      <c r="U29" s="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x14ac:dyDescent="0.35">
      <c r="A30" s="1"/>
      <c r="B30" s="1"/>
      <c r="C30" s="1"/>
      <c r="D30" s="128"/>
      <c r="E30" s="122"/>
      <c r="F30" s="123"/>
      <c r="G30" s="108"/>
      <c r="H30" s="108"/>
      <c r="I30" s="108"/>
      <c r="J30" s="108"/>
      <c r="K30" s="110"/>
      <c r="L30" s="110"/>
      <c r="M30" s="35"/>
      <c r="N30" s="35"/>
      <c r="O30" s="35"/>
      <c r="P30" s="28"/>
      <c r="Q30" s="35"/>
      <c r="R30" s="39"/>
      <c r="S30" s="26"/>
      <c r="T30" s="26"/>
      <c r="U30" s="1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x14ac:dyDescent="0.35">
      <c r="A31" s="1"/>
      <c r="B31" s="1"/>
      <c r="C31" s="1"/>
      <c r="D31" s="129"/>
      <c r="E31" s="124"/>
      <c r="F31" s="125"/>
      <c r="G31" s="108"/>
      <c r="H31" s="108"/>
      <c r="I31" s="108"/>
      <c r="J31" s="108"/>
      <c r="K31" s="111"/>
      <c r="L31" s="112"/>
      <c r="M31" s="27"/>
      <c r="N31" s="27"/>
      <c r="O31" s="27"/>
      <c r="P31" s="27"/>
      <c r="Q31" s="27"/>
      <c r="R31" s="27"/>
      <c r="S31" s="26"/>
      <c r="T31" s="26"/>
      <c r="U31" s="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x14ac:dyDescent="0.35">
      <c r="A32" s="1"/>
      <c r="B32" s="1"/>
      <c r="C32" s="1"/>
      <c r="D32" s="129"/>
      <c r="E32" s="124"/>
      <c r="F32" s="125"/>
      <c r="G32" s="108"/>
      <c r="H32" s="108"/>
      <c r="I32" s="108"/>
      <c r="J32" s="108"/>
      <c r="K32" s="110"/>
      <c r="L32" s="110"/>
      <c r="M32" s="39"/>
      <c r="N32" s="39"/>
      <c r="O32" s="39"/>
      <c r="P32" s="39"/>
      <c r="Q32" s="39"/>
      <c r="R32" s="35"/>
      <c r="S32" s="26"/>
      <c r="T32" s="26"/>
      <c r="U32" s="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35">
      <c r="A33" s="1"/>
      <c r="B33" s="1"/>
      <c r="C33" s="1"/>
      <c r="D33" s="129"/>
      <c r="E33" s="124"/>
      <c r="F33" s="125"/>
      <c r="G33" s="160"/>
      <c r="H33" s="160"/>
      <c r="I33" s="160"/>
      <c r="J33" s="160"/>
      <c r="K33" s="162"/>
      <c r="L33" s="163"/>
      <c r="M33" s="41"/>
      <c r="N33" s="41"/>
      <c r="O33" s="41"/>
      <c r="P33" s="41"/>
      <c r="Q33" s="41"/>
      <c r="R33" s="41"/>
      <c r="S33" s="26"/>
      <c r="T33" s="26"/>
      <c r="U33" s="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35">
      <c r="A34" s="1"/>
      <c r="B34" s="1"/>
      <c r="C34" s="1"/>
      <c r="D34" s="8"/>
      <c r="E34" s="8"/>
      <c r="F34" s="8"/>
      <c r="G34" s="8"/>
      <c r="H34" s="8"/>
      <c r="I34" s="8"/>
      <c r="J34" s="8"/>
      <c r="K34" s="9"/>
      <c r="L34" s="9"/>
      <c r="M34" s="42"/>
      <c r="N34" s="42"/>
      <c r="O34" s="42"/>
      <c r="P34" s="42"/>
      <c r="Q34" s="42"/>
      <c r="R34" s="42"/>
      <c r="S34" s="9"/>
      <c r="T34" s="9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35">
      <c r="A35" s="1"/>
      <c r="B35" s="1"/>
      <c r="C35" s="1"/>
      <c r="D35" s="8"/>
      <c r="E35" s="8"/>
      <c r="F35" s="8"/>
      <c r="G35" s="8"/>
      <c r="H35" s="8"/>
      <c r="I35" s="8"/>
      <c r="J35" s="8"/>
      <c r="K35" s="9"/>
      <c r="L35" s="9"/>
      <c r="M35" s="42"/>
      <c r="N35" s="42"/>
      <c r="O35" s="42"/>
      <c r="P35" s="42"/>
      <c r="Q35" s="42"/>
      <c r="R35" s="42"/>
      <c r="S35" s="26"/>
      <c r="T35" s="26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x14ac:dyDescent="0.35">
      <c r="A36" s="1"/>
      <c r="B36" s="1"/>
      <c r="C36" s="1"/>
      <c r="D36" s="8"/>
      <c r="E36" s="8"/>
      <c r="F36" s="8"/>
      <c r="G36" s="8"/>
      <c r="H36" s="8"/>
      <c r="I36" s="8"/>
      <c r="J36" s="8"/>
      <c r="K36" s="9"/>
      <c r="L36" s="9"/>
      <c r="M36" s="42"/>
      <c r="N36" s="42"/>
      <c r="O36" s="42"/>
      <c r="P36" s="42"/>
      <c r="Q36" s="42"/>
      <c r="R36" s="42"/>
      <c r="S36" s="10"/>
      <c r="T36" s="10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x14ac:dyDescent="0.35">
      <c r="A37" s="1"/>
      <c r="B37" s="1"/>
      <c r="C37" s="1"/>
      <c r="D37" s="8"/>
      <c r="E37" s="8"/>
      <c r="F37" s="8"/>
      <c r="G37" s="8"/>
      <c r="H37" s="8"/>
      <c r="I37" s="8"/>
      <c r="J37" s="8"/>
      <c r="K37" s="9"/>
      <c r="L37" s="9"/>
      <c r="M37" s="42"/>
      <c r="N37" s="42"/>
      <c r="O37" s="42"/>
      <c r="P37" s="42"/>
      <c r="Q37" s="42"/>
      <c r="R37" s="42"/>
      <c r="S37" s="9"/>
      <c r="T37" s="9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x14ac:dyDescent="0.35">
      <c r="A38" s="1"/>
      <c r="B38" s="1"/>
      <c r="C38" s="1"/>
      <c r="D38" s="8"/>
      <c r="E38" s="8"/>
      <c r="F38" s="8"/>
      <c r="G38" s="8"/>
      <c r="H38" s="8"/>
      <c r="I38" s="8"/>
      <c r="J38" s="8"/>
      <c r="K38" s="9"/>
      <c r="L38" s="9"/>
      <c r="M38" s="42"/>
      <c r="N38" s="42"/>
      <c r="O38" s="42"/>
      <c r="P38" s="42"/>
      <c r="Q38" s="42"/>
      <c r="R38" s="4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x14ac:dyDescent="0.35">
      <c r="A39" s="1"/>
      <c r="B39" s="1"/>
      <c r="C39" s="1"/>
      <c r="D39" s="8"/>
      <c r="E39" s="8"/>
      <c r="F39" s="8"/>
      <c r="G39" s="8"/>
      <c r="H39" s="8"/>
      <c r="I39" s="8"/>
      <c r="J39" s="8"/>
      <c r="K39" s="9"/>
      <c r="L39" s="9"/>
      <c r="M39" s="42"/>
      <c r="N39" s="42"/>
      <c r="O39" s="42"/>
      <c r="P39" s="42"/>
      <c r="Q39" s="42"/>
      <c r="R39" s="42"/>
      <c r="S39" s="9"/>
      <c r="T39" s="9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x14ac:dyDescent="0.35">
      <c r="A40" s="1"/>
      <c r="B40" s="1"/>
      <c r="C40" s="1"/>
      <c r="D40" s="8"/>
      <c r="E40" s="8"/>
      <c r="F40" s="8"/>
      <c r="G40" s="8"/>
      <c r="H40" s="8"/>
      <c r="I40" s="8"/>
      <c r="J40" s="8"/>
      <c r="K40" s="9"/>
      <c r="L40" s="9"/>
      <c r="M40" s="42"/>
      <c r="N40" s="42"/>
      <c r="O40" s="42"/>
      <c r="P40" s="42"/>
      <c r="Q40" s="42"/>
      <c r="R40" s="4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x14ac:dyDescent="0.35">
      <c r="A41" s="1"/>
      <c r="B41" s="1"/>
      <c r="C41" s="1"/>
      <c r="D41" s="8"/>
      <c r="E41" s="8"/>
      <c r="F41" s="8"/>
      <c r="G41" s="8"/>
      <c r="H41" s="8"/>
      <c r="I41" s="8"/>
      <c r="J41" s="8"/>
      <c r="K41" s="9"/>
      <c r="L41" s="9"/>
      <c r="M41" s="42"/>
      <c r="N41" s="42"/>
      <c r="O41" s="42"/>
      <c r="P41" s="42"/>
      <c r="Q41" s="42"/>
      <c r="R41" s="42"/>
      <c r="S41" s="9"/>
      <c r="T41" s="9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x14ac:dyDescent="0.35">
      <c r="A42" s="1"/>
      <c r="B42" s="1"/>
      <c r="C42" s="1"/>
      <c r="D42" s="8"/>
      <c r="E42" s="8"/>
      <c r="F42" s="8"/>
      <c r="G42" s="8"/>
      <c r="H42" s="8"/>
      <c r="I42" s="8"/>
      <c r="J42" s="8"/>
      <c r="K42" s="9"/>
      <c r="L42" s="9"/>
      <c r="M42" s="42"/>
      <c r="N42" s="42"/>
      <c r="O42" s="42"/>
      <c r="P42" s="42"/>
      <c r="Q42" s="42"/>
      <c r="R42" s="4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35">
      <c r="A43" s="1"/>
      <c r="B43" s="1"/>
      <c r="C43" s="1"/>
      <c r="D43" s="8"/>
      <c r="E43" s="8"/>
      <c r="F43" s="8"/>
      <c r="G43" s="8"/>
      <c r="H43" s="8"/>
      <c r="I43" s="8"/>
      <c r="J43" s="8"/>
      <c r="K43" s="9"/>
      <c r="L43" s="9"/>
      <c r="M43" s="42"/>
      <c r="N43" s="42"/>
      <c r="O43" s="42"/>
      <c r="P43" s="42"/>
      <c r="Q43" s="42"/>
      <c r="R43" s="42"/>
      <c r="S43" s="9"/>
      <c r="T43" s="9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x14ac:dyDescent="0.35">
      <c r="A44" s="1"/>
      <c r="B44" s="1"/>
      <c r="C44" s="1"/>
      <c r="D44" s="8"/>
      <c r="E44" s="8"/>
      <c r="F44" s="8"/>
      <c r="G44" s="8"/>
      <c r="H44" s="8"/>
      <c r="I44" s="8"/>
      <c r="J44" s="8"/>
      <c r="K44" s="9"/>
      <c r="L44" s="9"/>
      <c r="M44" s="42"/>
      <c r="N44" s="42"/>
      <c r="O44" s="42"/>
      <c r="P44" s="42"/>
      <c r="Q44" s="42"/>
      <c r="R44" s="4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35">
      <c r="A45" s="1"/>
      <c r="B45" s="1"/>
      <c r="C45" s="1"/>
      <c r="D45" s="8"/>
      <c r="E45" s="8"/>
      <c r="F45" s="8"/>
      <c r="G45" s="8"/>
      <c r="H45" s="8"/>
      <c r="I45" s="8"/>
      <c r="J45" s="8"/>
      <c r="K45" s="9"/>
      <c r="L45" s="9"/>
      <c r="M45" s="42"/>
      <c r="N45" s="42"/>
      <c r="O45" s="42"/>
      <c r="P45" s="42"/>
      <c r="Q45" s="45"/>
      <c r="R45" s="42"/>
      <c r="S45" s="9"/>
      <c r="T45" s="9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x14ac:dyDescent="0.35">
      <c r="A46" s="1"/>
      <c r="B46" s="1"/>
      <c r="C46" s="1"/>
      <c r="D46" s="8"/>
      <c r="E46" s="8"/>
      <c r="F46" s="8"/>
      <c r="G46" s="8"/>
      <c r="H46" s="8"/>
      <c r="I46" s="8"/>
      <c r="J46" s="8"/>
      <c r="K46" s="9"/>
      <c r="L46" s="9"/>
      <c r="M46" s="42"/>
      <c r="N46" s="42"/>
      <c r="O46" s="42"/>
      <c r="P46" s="42"/>
      <c r="Q46" s="42"/>
      <c r="R46" s="4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x14ac:dyDescent="0.35">
      <c r="A47" s="1"/>
      <c r="B47" s="1"/>
      <c r="C47" s="1"/>
      <c r="D47" s="8"/>
      <c r="E47" s="8"/>
      <c r="F47" s="8"/>
      <c r="G47" s="8"/>
      <c r="H47" s="8"/>
      <c r="I47" s="8"/>
      <c r="J47" s="8"/>
      <c r="K47" s="9"/>
      <c r="L47" s="9"/>
      <c r="M47" s="45"/>
      <c r="N47" s="45"/>
      <c r="O47" s="45"/>
      <c r="P47" s="44"/>
      <c r="Q47" s="44"/>
      <c r="R47" s="44"/>
      <c r="S47" s="9"/>
      <c r="T47" s="9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x14ac:dyDescent="0.35">
      <c r="A48" s="1"/>
      <c r="B48" s="1"/>
      <c r="C48" s="1"/>
      <c r="D48" s="8"/>
      <c r="E48" s="8"/>
      <c r="F48" s="8"/>
      <c r="G48" s="8"/>
      <c r="H48" s="8"/>
      <c r="I48" s="8"/>
      <c r="J48" s="8"/>
      <c r="K48" s="9"/>
      <c r="L48" s="9"/>
      <c r="M48" s="42"/>
      <c r="N48" s="42"/>
      <c r="O48" s="42"/>
      <c r="P48" s="42"/>
      <c r="Q48" s="42"/>
      <c r="R48" s="45"/>
      <c r="S48" s="10"/>
      <c r="T48" s="10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x14ac:dyDescent="0.35">
      <c r="A49" s="1"/>
      <c r="B49" s="1"/>
      <c r="C49" s="1"/>
      <c r="D49" s="8"/>
      <c r="E49" s="8"/>
      <c r="F49" s="8"/>
      <c r="G49" s="8"/>
      <c r="H49" s="8"/>
      <c r="I49" s="8"/>
      <c r="J49" s="8"/>
      <c r="K49" s="9"/>
      <c r="L49" s="9"/>
      <c r="M49" s="42"/>
      <c r="N49" s="42"/>
      <c r="O49" s="42"/>
      <c r="P49" s="42"/>
      <c r="Q49" s="42"/>
      <c r="R49" s="42"/>
      <c r="S49" s="10"/>
      <c r="T49" s="10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x14ac:dyDescent="0.35">
      <c r="A50" s="1"/>
      <c r="B50" s="1"/>
      <c r="C50" s="1"/>
      <c r="D50" s="8"/>
      <c r="E50" s="8"/>
      <c r="F50" s="8"/>
      <c r="G50" s="8"/>
      <c r="H50" s="8"/>
      <c r="I50" s="8"/>
      <c r="J50" s="8"/>
      <c r="K50" s="9"/>
      <c r="L50" s="9"/>
      <c r="M50" s="42"/>
      <c r="N50" s="42"/>
      <c r="O50" s="42"/>
      <c r="P50" s="42"/>
      <c r="Q50" s="42"/>
      <c r="R50" s="42"/>
      <c r="S50" s="10"/>
      <c r="T50" s="10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x14ac:dyDescent="0.35">
      <c r="A51" s="1"/>
      <c r="B51" s="1"/>
      <c r="C51" s="1"/>
      <c r="D51" s="8"/>
      <c r="E51" s="8"/>
      <c r="F51" s="8"/>
      <c r="G51" s="8"/>
      <c r="H51" s="8"/>
      <c r="I51" s="8"/>
      <c r="J51" s="8"/>
      <c r="K51" s="9"/>
      <c r="L51" s="9"/>
      <c r="M51" s="43"/>
      <c r="N51" s="43"/>
      <c r="O51" s="43"/>
      <c r="P51" s="43"/>
      <c r="Q51" s="43"/>
      <c r="R51" s="43"/>
      <c r="S51" s="10"/>
      <c r="T51" s="10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x14ac:dyDescent="0.35">
      <c r="A52" s="1"/>
      <c r="B52" s="1"/>
      <c r="C52" s="1"/>
      <c r="D52" s="8"/>
      <c r="E52" s="8"/>
      <c r="F52" s="8"/>
      <c r="G52" s="8"/>
      <c r="H52" s="8"/>
      <c r="I52" s="8"/>
      <c r="J52" s="8"/>
      <c r="K52" s="9"/>
      <c r="L52" s="9"/>
      <c r="M52" s="42"/>
      <c r="N52" s="42"/>
      <c r="O52" s="42"/>
      <c r="P52" s="42"/>
      <c r="Q52" s="42"/>
      <c r="R52" s="42"/>
      <c r="S52" s="10"/>
      <c r="T52" s="10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x14ac:dyDescent="0.35">
      <c r="A53" s="1"/>
      <c r="B53" s="1"/>
      <c r="C53" s="1"/>
      <c r="D53" s="8"/>
      <c r="E53" s="8"/>
      <c r="F53" s="8"/>
      <c r="G53" s="8"/>
      <c r="H53" s="8"/>
      <c r="I53" s="8"/>
      <c r="J53" s="8"/>
      <c r="K53" s="9"/>
      <c r="L53" s="9"/>
      <c r="M53" s="42"/>
      <c r="N53" s="42"/>
      <c r="O53" s="42"/>
      <c r="P53" s="42"/>
      <c r="Q53" s="42"/>
      <c r="R53" s="42"/>
      <c r="S53" s="10"/>
      <c r="T53" s="10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35">
      <c r="A54" s="1"/>
      <c r="B54" s="1"/>
      <c r="C54" s="1"/>
      <c r="D54" s="8"/>
      <c r="E54" s="8"/>
      <c r="F54" s="8"/>
      <c r="G54" s="8"/>
      <c r="H54" s="8"/>
      <c r="I54" s="8"/>
      <c r="J54" s="8"/>
      <c r="K54" s="9"/>
      <c r="L54" s="9"/>
      <c r="M54" s="42"/>
      <c r="N54" s="42"/>
      <c r="O54" s="42"/>
      <c r="P54" s="42"/>
      <c r="Q54" s="42"/>
      <c r="R54" s="42"/>
      <c r="S54" s="10"/>
      <c r="T54" s="10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x14ac:dyDescent="0.35">
      <c r="A55" s="1"/>
      <c r="B55" s="1"/>
      <c r="C55" s="1"/>
      <c r="D55" s="8"/>
      <c r="E55" s="8"/>
      <c r="F55" s="8"/>
      <c r="G55" s="8"/>
      <c r="H55" s="8"/>
      <c r="I55" s="8"/>
      <c r="J55" s="8"/>
      <c r="K55" s="9"/>
      <c r="L55" s="9"/>
      <c r="M55" s="43"/>
      <c r="N55" s="43"/>
      <c r="O55" s="43"/>
      <c r="P55" s="43"/>
      <c r="Q55" s="43"/>
      <c r="R55" s="43"/>
      <c r="S55" s="10"/>
      <c r="T55" s="10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x14ac:dyDescent="0.35">
      <c r="A56" s="1"/>
      <c r="B56" s="1"/>
      <c r="C56" s="1"/>
      <c r="D56" s="8"/>
      <c r="E56" s="8"/>
      <c r="F56" s="8"/>
      <c r="G56" s="8"/>
      <c r="H56" s="8"/>
      <c r="I56" s="8"/>
      <c r="J56" s="8"/>
      <c r="K56" s="9"/>
      <c r="L56" s="9"/>
      <c r="M56" s="42"/>
      <c r="N56" s="42"/>
      <c r="O56" s="42"/>
      <c r="P56" s="42"/>
      <c r="Q56" s="42"/>
      <c r="R56" s="42"/>
      <c r="S56" s="10"/>
      <c r="T56" s="10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x14ac:dyDescent="0.35">
      <c r="A57" s="1"/>
      <c r="B57" s="1"/>
      <c r="C57" s="1"/>
      <c r="D57" s="8"/>
      <c r="E57" s="8"/>
      <c r="F57" s="8"/>
      <c r="G57" s="8"/>
      <c r="H57" s="8"/>
      <c r="I57" s="8"/>
      <c r="J57" s="8"/>
      <c r="K57" s="9"/>
      <c r="L57" s="9"/>
      <c r="M57" s="45"/>
      <c r="N57" s="45"/>
      <c r="O57" s="45"/>
      <c r="P57" s="42"/>
      <c r="Q57" s="45"/>
      <c r="R57" s="44"/>
      <c r="S57" s="10"/>
      <c r="T57" s="10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x14ac:dyDescent="0.35">
      <c r="A58" s="1"/>
      <c r="B58" s="1"/>
      <c r="C58" s="1"/>
      <c r="D58" s="8"/>
      <c r="E58" s="8"/>
      <c r="F58" s="8"/>
      <c r="G58" s="8"/>
      <c r="H58" s="8"/>
      <c r="I58" s="8"/>
      <c r="J58" s="8"/>
      <c r="K58" s="9"/>
      <c r="L58" s="9"/>
      <c r="M58" s="42"/>
      <c r="N58" s="42"/>
      <c r="O58" s="42"/>
      <c r="P58" s="42"/>
      <c r="Q58" s="42"/>
      <c r="R58" s="42"/>
      <c r="S58" s="10"/>
      <c r="T58" s="10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x14ac:dyDescent="0.35">
      <c r="A59" s="1"/>
      <c r="B59" s="1"/>
      <c r="C59" s="1"/>
      <c r="D59" s="8"/>
      <c r="E59" s="8"/>
      <c r="F59" s="8"/>
      <c r="G59" s="8"/>
      <c r="H59" s="8"/>
      <c r="I59" s="8"/>
      <c r="J59" s="8"/>
      <c r="K59" s="9"/>
      <c r="L59" s="9"/>
      <c r="M59" s="44"/>
      <c r="N59" s="44"/>
      <c r="O59" s="44"/>
      <c r="P59" s="44"/>
      <c r="Q59" s="44"/>
      <c r="R59" s="45"/>
      <c r="S59" s="10"/>
      <c r="T59" s="10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x14ac:dyDescent="0.35">
      <c r="A60" s="1"/>
      <c r="B60" s="1"/>
      <c r="C60" s="1"/>
      <c r="D60" s="8"/>
      <c r="E60" s="8"/>
      <c r="F60" s="8"/>
      <c r="G60" s="8"/>
      <c r="H60" s="8"/>
      <c r="I60" s="8"/>
      <c r="J60" s="8"/>
      <c r="K60" s="9"/>
      <c r="L60" s="9"/>
      <c r="M60" s="46"/>
      <c r="N60" s="46"/>
      <c r="O60" s="46"/>
      <c r="P60" s="46"/>
      <c r="Q60" s="46"/>
      <c r="R60" s="46"/>
      <c r="S60" s="10"/>
      <c r="T60" s="10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x14ac:dyDescent="0.35">
      <c r="A61" s="1"/>
      <c r="B61" s="1"/>
      <c r="C61" s="1"/>
      <c r="D61" s="8"/>
      <c r="E61" s="8"/>
      <c r="F61" s="8"/>
      <c r="G61" s="8"/>
      <c r="H61" s="8"/>
      <c r="I61" s="8"/>
      <c r="J61" s="8"/>
      <c r="K61" s="9"/>
      <c r="L61" s="9"/>
      <c r="M61" s="45"/>
      <c r="N61" s="45"/>
      <c r="O61" s="45"/>
      <c r="P61" s="42"/>
      <c r="Q61" s="45"/>
      <c r="R61" s="44"/>
      <c r="S61" s="10"/>
      <c r="T61" s="10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x14ac:dyDescent="0.35">
      <c r="A62" s="1"/>
      <c r="B62" s="1"/>
      <c r="C62" s="1"/>
      <c r="D62" s="8"/>
      <c r="E62" s="8"/>
      <c r="F62" s="8"/>
      <c r="G62" s="8"/>
      <c r="H62" s="8"/>
      <c r="I62" s="8"/>
      <c r="J62" s="8"/>
      <c r="K62" s="9"/>
      <c r="L62" s="9"/>
      <c r="M62" s="42"/>
      <c r="N62" s="42"/>
      <c r="O62" s="42"/>
      <c r="P62" s="42"/>
      <c r="Q62" s="42"/>
      <c r="R62" s="42"/>
      <c r="S62" s="10"/>
      <c r="T62" s="10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x14ac:dyDescent="0.35">
      <c r="A63" s="1"/>
      <c r="B63" s="1"/>
      <c r="C63" s="1"/>
      <c r="D63" s="8"/>
      <c r="E63" s="8"/>
      <c r="F63" s="8"/>
      <c r="G63" s="8"/>
      <c r="H63" s="8"/>
      <c r="I63" s="8"/>
      <c r="J63" s="8"/>
      <c r="K63" s="9"/>
      <c r="L63" s="9"/>
      <c r="M63" s="44"/>
      <c r="N63" s="44"/>
      <c r="O63" s="44"/>
      <c r="P63" s="44"/>
      <c r="Q63" s="44"/>
      <c r="R63" s="45"/>
      <c r="S63" s="10"/>
      <c r="T63" s="10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x14ac:dyDescent="0.35">
      <c r="A64" s="1"/>
      <c r="B64" s="1"/>
      <c r="C64" s="1"/>
      <c r="D64" s="8"/>
      <c r="E64" s="8"/>
      <c r="F64" s="8"/>
      <c r="G64" s="8"/>
      <c r="H64" s="8"/>
      <c r="I64" s="8"/>
      <c r="J64" s="8"/>
      <c r="K64" s="9"/>
      <c r="L64" s="9"/>
      <c r="M64" s="46"/>
      <c r="N64" s="46"/>
      <c r="O64" s="46"/>
      <c r="P64" s="46"/>
      <c r="Q64" s="46"/>
      <c r="R64" s="46"/>
      <c r="S64" s="10"/>
      <c r="T64" s="10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x14ac:dyDescent="0.35">
      <c r="A65" s="1"/>
      <c r="B65" s="1"/>
      <c r="C65" s="1"/>
      <c r="D65" s="8"/>
      <c r="E65" s="8"/>
      <c r="F65" s="8"/>
      <c r="G65" s="8"/>
      <c r="H65" s="8"/>
      <c r="I65" s="8"/>
      <c r="J65" s="8"/>
      <c r="K65" s="9"/>
      <c r="L65" s="9"/>
      <c r="M65" s="42"/>
      <c r="N65" s="42"/>
      <c r="O65" s="42"/>
      <c r="P65" s="42"/>
      <c r="Q65" s="42"/>
      <c r="R65" s="42"/>
      <c r="S65" s="10"/>
      <c r="T65" s="10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x14ac:dyDescent="0.35">
      <c r="A66" s="1"/>
      <c r="B66" s="1"/>
      <c r="C66" s="1"/>
      <c r="D66" s="8"/>
      <c r="E66" s="8"/>
      <c r="F66" s="8"/>
      <c r="G66" s="8"/>
      <c r="H66" s="8"/>
      <c r="I66" s="8"/>
      <c r="J66" s="8"/>
      <c r="K66" s="9"/>
      <c r="L66" s="9"/>
      <c r="M66" s="42"/>
      <c r="N66" s="42"/>
      <c r="O66" s="42"/>
      <c r="P66" s="42"/>
      <c r="Q66" s="42"/>
      <c r="R66" s="42"/>
      <c r="S66" s="10"/>
      <c r="T66" s="10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x14ac:dyDescent="0.35">
      <c r="A67" s="1"/>
      <c r="B67" s="1"/>
      <c r="C67" s="1"/>
      <c r="D67" s="8"/>
      <c r="E67" s="8"/>
      <c r="F67" s="8"/>
      <c r="G67" s="8"/>
      <c r="H67" s="8"/>
      <c r="I67" s="8"/>
      <c r="J67" s="8"/>
      <c r="K67" s="9"/>
      <c r="L67" s="9"/>
      <c r="M67" s="43"/>
      <c r="N67" s="43"/>
      <c r="O67" s="43"/>
      <c r="P67" s="43"/>
      <c r="Q67" s="43"/>
      <c r="R67" s="43"/>
      <c r="S67" s="9"/>
      <c r="T67" s="9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x14ac:dyDescent="0.35">
      <c r="A68" s="1"/>
      <c r="B68" s="1"/>
      <c r="C68" s="1"/>
      <c r="D68" s="8"/>
      <c r="E68" s="8"/>
      <c r="F68" s="8"/>
      <c r="G68" s="8"/>
      <c r="H68" s="8"/>
      <c r="I68" s="8"/>
      <c r="J68" s="8"/>
      <c r="K68" s="9"/>
      <c r="L68" s="9"/>
      <c r="M68" s="42"/>
      <c r="N68" s="42"/>
      <c r="O68" s="42"/>
      <c r="P68" s="42"/>
      <c r="Q68" s="42"/>
      <c r="R68" s="42"/>
      <c r="S68" s="10"/>
      <c r="T68" s="10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x14ac:dyDescent="0.35">
      <c r="A69" s="1"/>
      <c r="B69" s="1"/>
      <c r="C69" s="1"/>
      <c r="D69" s="8"/>
      <c r="E69" s="8"/>
      <c r="F69" s="8"/>
      <c r="G69" s="8"/>
      <c r="H69" s="8"/>
      <c r="I69" s="8"/>
      <c r="J69" s="8"/>
      <c r="K69" s="9"/>
      <c r="L69" s="9"/>
      <c r="M69" s="44"/>
      <c r="N69" s="45"/>
      <c r="O69" s="45"/>
      <c r="P69" s="42"/>
      <c r="Q69" s="44"/>
      <c r="R69" s="44"/>
      <c r="S69" s="9"/>
      <c r="T69" s="9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x14ac:dyDescent="0.35">
      <c r="A70" s="1"/>
      <c r="B70" s="1"/>
      <c r="C70" s="1"/>
      <c r="D70" s="8"/>
      <c r="E70" s="8"/>
      <c r="F70" s="8"/>
      <c r="G70" s="8"/>
      <c r="H70" s="8"/>
      <c r="I70" s="8"/>
      <c r="J70" s="8"/>
      <c r="K70" s="9"/>
      <c r="L70" s="9"/>
      <c r="M70" s="45"/>
      <c r="N70" s="42"/>
      <c r="O70" s="42"/>
      <c r="P70" s="42"/>
      <c r="Q70" s="45"/>
      <c r="R70" s="42"/>
      <c r="S70" s="10"/>
      <c r="T70" s="10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x14ac:dyDescent="0.35">
      <c r="A71" s="1"/>
      <c r="B71" s="1"/>
      <c r="C71" s="1"/>
      <c r="D71" s="8"/>
      <c r="E71" s="8"/>
      <c r="F71" s="8"/>
      <c r="G71" s="8"/>
      <c r="H71" s="8"/>
      <c r="I71" s="8"/>
      <c r="J71" s="8"/>
      <c r="K71" s="9"/>
      <c r="L71" s="9"/>
      <c r="M71" s="44"/>
      <c r="N71" s="44"/>
      <c r="O71" s="44"/>
      <c r="P71" s="44"/>
      <c r="Q71" s="44"/>
      <c r="R71" s="45"/>
      <c r="S71" s="9"/>
      <c r="T71" s="9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x14ac:dyDescent="0.35">
      <c r="A72" s="1"/>
      <c r="B72" s="1"/>
      <c r="C72" s="1"/>
      <c r="D72" s="8"/>
      <c r="E72" s="8"/>
      <c r="F72" s="8"/>
      <c r="G72" s="8"/>
      <c r="H72" s="8"/>
      <c r="I72" s="8"/>
      <c r="J72" s="8"/>
      <c r="K72" s="9"/>
      <c r="L72" s="9"/>
      <c r="M72" s="46"/>
      <c r="N72" s="46"/>
      <c r="O72" s="46"/>
      <c r="P72" s="46"/>
      <c r="Q72" s="46"/>
      <c r="R72" s="46"/>
      <c r="S72" s="10"/>
      <c r="T72" s="10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35">
      <c r="A73" s="1"/>
      <c r="B73" s="1"/>
      <c r="C73" s="1"/>
      <c r="D73" s="8"/>
      <c r="E73" s="8"/>
      <c r="F73" s="8"/>
      <c r="G73" s="8"/>
      <c r="H73" s="8"/>
      <c r="I73" s="8"/>
      <c r="J73" s="8"/>
      <c r="K73" s="9"/>
      <c r="L73" s="9"/>
      <c r="M73" s="42"/>
      <c r="N73" s="42"/>
      <c r="O73" s="42"/>
      <c r="P73" s="42"/>
      <c r="Q73" s="42"/>
      <c r="R73" s="42"/>
      <c r="S73" s="10"/>
      <c r="T73" s="10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x14ac:dyDescent="0.35">
      <c r="A74" s="1"/>
      <c r="B74" s="1"/>
      <c r="C74" s="1"/>
      <c r="D74" s="8"/>
      <c r="E74" s="8"/>
      <c r="F74" s="8"/>
      <c r="G74" s="8"/>
      <c r="H74" s="8"/>
      <c r="I74" s="8"/>
      <c r="J74" s="8"/>
      <c r="K74" s="9"/>
      <c r="L74" s="9"/>
      <c r="M74" s="42"/>
      <c r="N74" s="42"/>
      <c r="O74" s="42"/>
      <c r="P74" s="42"/>
      <c r="Q74" s="42"/>
      <c r="R74" s="42"/>
      <c r="S74" s="10"/>
      <c r="T74" s="10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x14ac:dyDescent="0.35">
      <c r="A75" s="1"/>
      <c r="B75" s="1"/>
      <c r="C75" s="1"/>
      <c r="D75" s="8"/>
      <c r="E75" s="8"/>
      <c r="F75" s="8"/>
      <c r="G75" s="8"/>
      <c r="H75" s="8"/>
      <c r="I75" s="8"/>
      <c r="J75" s="8"/>
      <c r="K75" s="9"/>
      <c r="L75" s="9"/>
      <c r="M75" s="43"/>
      <c r="N75" s="43"/>
      <c r="O75" s="43"/>
      <c r="P75" s="43"/>
      <c r="Q75" s="43"/>
      <c r="R75" s="43"/>
      <c r="S75" s="10"/>
      <c r="T75" s="10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x14ac:dyDescent="0.35">
      <c r="A76" s="1"/>
      <c r="B76" s="1"/>
      <c r="C76" s="1"/>
      <c r="D76" s="8"/>
      <c r="E76" s="8"/>
      <c r="F76" s="8"/>
      <c r="G76" s="8"/>
      <c r="H76" s="8"/>
      <c r="I76" s="8"/>
      <c r="J76" s="8"/>
      <c r="K76" s="9"/>
      <c r="L76" s="9"/>
      <c r="M76" s="42"/>
      <c r="N76" s="42"/>
      <c r="O76" s="42"/>
      <c r="P76" s="42"/>
      <c r="Q76" s="42"/>
      <c r="R76" s="42"/>
      <c r="S76" s="10"/>
      <c r="T76" s="10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x14ac:dyDescent="0.35">
      <c r="A77" s="1"/>
      <c r="B77" s="1"/>
      <c r="C77" s="1"/>
      <c r="D77" s="8"/>
      <c r="E77" s="8"/>
      <c r="F77" s="8"/>
      <c r="G77" s="8"/>
      <c r="H77" s="8"/>
      <c r="I77" s="8"/>
      <c r="J77" s="8"/>
      <c r="K77" s="9"/>
      <c r="L77" s="9"/>
      <c r="M77" s="42"/>
      <c r="N77" s="42"/>
      <c r="O77" s="42"/>
      <c r="P77" s="42"/>
      <c r="Q77" s="42"/>
      <c r="R77" s="42"/>
      <c r="S77" s="10"/>
      <c r="T77" s="10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5">
      <c r="A78" s="1"/>
      <c r="B78" s="1"/>
      <c r="C78" s="1"/>
      <c r="D78" s="8"/>
      <c r="E78" s="8"/>
      <c r="F78" s="8"/>
      <c r="G78" s="8"/>
      <c r="H78" s="8"/>
      <c r="I78" s="8"/>
      <c r="J78" s="8"/>
      <c r="K78" s="9"/>
      <c r="L78" s="9"/>
      <c r="M78" s="42"/>
      <c r="N78" s="42"/>
      <c r="O78" s="42"/>
      <c r="P78" s="42"/>
      <c r="Q78" s="42"/>
      <c r="R78" s="42"/>
      <c r="S78" s="10"/>
      <c r="T78" s="10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x14ac:dyDescent="0.35">
      <c r="A79" s="1"/>
      <c r="B79" s="1"/>
      <c r="C79" s="1"/>
      <c r="D79" s="8"/>
      <c r="E79" s="8"/>
      <c r="F79" s="8"/>
      <c r="G79" s="8"/>
      <c r="H79" s="8"/>
      <c r="I79" s="8"/>
      <c r="J79" s="8"/>
      <c r="K79" s="9"/>
      <c r="L79" s="9"/>
      <c r="M79" s="43"/>
      <c r="N79" s="43"/>
      <c r="O79" s="43"/>
      <c r="P79" s="43"/>
      <c r="Q79" s="43"/>
      <c r="R79" s="43"/>
      <c r="S79" s="10"/>
      <c r="T79" s="10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x14ac:dyDescent="0.35">
      <c r="A80" s="1"/>
      <c r="B80" s="1"/>
      <c r="C80" s="1"/>
      <c r="D80" s="8"/>
      <c r="E80" s="8"/>
      <c r="F80" s="8"/>
      <c r="G80" s="8"/>
      <c r="H80" s="8"/>
      <c r="I80" s="8"/>
      <c r="J80" s="8"/>
      <c r="K80" s="9"/>
      <c r="L80" s="9"/>
      <c r="M80" s="42"/>
      <c r="N80" s="42"/>
      <c r="O80" s="42"/>
      <c r="P80" s="42"/>
      <c r="Q80" s="42"/>
      <c r="R80" s="42"/>
      <c r="S80" s="10"/>
      <c r="T80" s="10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x14ac:dyDescent="0.35">
      <c r="A81" s="1"/>
      <c r="B81" s="1"/>
      <c r="C81" s="1"/>
      <c r="D81" s="8"/>
      <c r="E81" s="8"/>
      <c r="F81" s="8"/>
      <c r="G81" s="8"/>
      <c r="H81" s="8"/>
      <c r="I81" s="8"/>
      <c r="J81" s="8"/>
      <c r="K81" s="9"/>
      <c r="L81" s="9"/>
      <c r="M81" s="45"/>
      <c r="N81" s="45"/>
      <c r="O81" s="45"/>
      <c r="P81" s="42"/>
      <c r="Q81" s="45"/>
      <c r="R81" s="44"/>
      <c r="S81" s="10"/>
      <c r="T81" s="10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x14ac:dyDescent="0.35">
      <c r="A82" s="1"/>
      <c r="B82" s="1"/>
      <c r="C82" s="1"/>
      <c r="D82" s="8"/>
      <c r="E82" s="8"/>
      <c r="F82" s="8"/>
      <c r="G82" s="8"/>
      <c r="H82" s="8"/>
      <c r="I82" s="8"/>
      <c r="J82" s="8"/>
      <c r="K82" s="9"/>
      <c r="L82" s="9"/>
      <c r="M82" s="42"/>
      <c r="N82" s="42"/>
      <c r="O82" s="42"/>
      <c r="P82" s="42"/>
      <c r="Q82" s="42"/>
      <c r="R82" s="42"/>
      <c r="S82" s="10"/>
      <c r="T82" s="10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x14ac:dyDescent="0.35">
      <c r="A83" s="1"/>
      <c r="B83" s="1"/>
      <c r="C83" s="1"/>
      <c r="D83" s="8"/>
      <c r="E83" s="8"/>
      <c r="F83" s="8"/>
      <c r="G83" s="8"/>
      <c r="H83" s="8"/>
      <c r="I83" s="8"/>
      <c r="J83" s="8"/>
      <c r="K83" s="9"/>
      <c r="L83" s="9"/>
      <c r="M83" s="44"/>
      <c r="N83" s="44"/>
      <c r="O83" s="44"/>
      <c r="P83" s="44"/>
      <c r="Q83" s="44"/>
      <c r="R83" s="45"/>
      <c r="S83" s="10"/>
      <c r="T83" s="10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x14ac:dyDescent="0.35">
      <c r="A84" s="1"/>
      <c r="B84" s="1"/>
      <c r="C84" s="1"/>
      <c r="D84" s="8"/>
      <c r="E84" s="8"/>
      <c r="F84" s="8"/>
      <c r="G84" s="8"/>
      <c r="H84" s="8"/>
      <c r="I84" s="8"/>
      <c r="J84" s="8"/>
      <c r="K84" s="9"/>
      <c r="L84" s="9"/>
      <c r="M84" s="46"/>
      <c r="N84" s="46"/>
      <c r="O84" s="46"/>
      <c r="P84" s="46"/>
      <c r="Q84" s="46"/>
      <c r="R84" s="46"/>
      <c r="S84" s="10"/>
      <c r="T84" s="10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x14ac:dyDescent="0.35">
      <c r="A85" s="1"/>
      <c r="B85" s="1"/>
      <c r="C85" s="1"/>
      <c r="D85" s="8"/>
      <c r="E85" s="8"/>
      <c r="F85" s="8"/>
      <c r="G85" s="8"/>
      <c r="H85" s="8"/>
      <c r="I85" s="8"/>
      <c r="J85" s="8"/>
      <c r="K85" s="9"/>
      <c r="L85" s="9"/>
      <c r="M85" s="42"/>
      <c r="N85" s="42"/>
      <c r="O85" s="42"/>
      <c r="P85" s="42"/>
      <c r="Q85" s="42"/>
      <c r="R85" s="42"/>
      <c r="S85" s="10"/>
      <c r="T85" s="10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x14ac:dyDescent="0.35">
      <c r="A86" s="1"/>
      <c r="B86" s="1"/>
      <c r="C86" s="1"/>
      <c r="D86" s="8"/>
      <c r="E86" s="8"/>
      <c r="F86" s="8"/>
      <c r="G86" s="8"/>
      <c r="H86" s="8"/>
      <c r="I86" s="8"/>
      <c r="J86" s="8"/>
      <c r="K86" s="9"/>
      <c r="L86" s="9"/>
      <c r="M86" s="42"/>
      <c r="N86" s="42"/>
      <c r="O86" s="42"/>
      <c r="P86" s="42"/>
      <c r="Q86" s="42"/>
      <c r="R86" s="42"/>
      <c r="S86" s="10"/>
      <c r="T86" s="10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x14ac:dyDescent="0.35">
      <c r="C87" s="1"/>
      <c r="D87" s="8"/>
      <c r="E87" s="8"/>
      <c r="F87" s="8"/>
      <c r="G87" s="8"/>
      <c r="H87" s="8"/>
      <c r="I87" s="8"/>
      <c r="J87" s="8"/>
      <c r="K87" s="9"/>
      <c r="L87" s="9"/>
      <c r="M87" s="43"/>
      <c r="N87" s="43"/>
      <c r="O87" s="43"/>
      <c r="P87" s="43"/>
      <c r="Q87" s="43"/>
      <c r="R87" s="43"/>
      <c r="S87" s="10"/>
      <c r="T87" s="10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x14ac:dyDescent="0.35">
      <c r="C88" s="1"/>
      <c r="D88" s="8"/>
      <c r="E88" s="8"/>
      <c r="F88" s="8"/>
      <c r="G88" s="8"/>
      <c r="H88" s="8"/>
      <c r="I88" s="8"/>
      <c r="J88" s="8"/>
      <c r="K88" s="9"/>
      <c r="L88" s="9"/>
      <c r="M88" s="42"/>
      <c r="N88" s="42"/>
      <c r="O88" s="42"/>
      <c r="P88" s="42"/>
      <c r="Q88" s="42"/>
      <c r="R88" s="42"/>
      <c r="S88" s="10"/>
      <c r="T88" s="10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x14ac:dyDescent="0.35">
      <c r="C89" s="1"/>
      <c r="D89" s="8"/>
      <c r="E89" s="8"/>
      <c r="F89" s="8"/>
      <c r="G89" s="8"/>
      <c r="H89" s="8"/>
      <c r="I89" s="8"/>
      <c r="J89" s="8"/>
      <c r="K89" s="9"/>
      <c r="L89" s="9"/>
      <c r="M89" s="42"/>
      <c r="N89" s="42"/>
      <c r="O89" s="42"/>
      <c r="P89" s="42"/>
      <c r="Q89" s="42"/>
      <c r="R89" s="42"/>
      <c r="S89" s="10"/>
      <c r="T89" s="10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x14ac:dyDescent="0.35">
      <c r="C90" s="1"/>
      <c r="D90" s="8"/>
      <c r="E90" s="8"/>
      <c r="F90" s="8"/>
      <c r="G90" s="8"/>
      <c r="H90" s="8"/>
      <c r="I90" s="8"/>
      <c r="J90" s="8"/>
      <c r="K90" s="9"/>
      <c r="L90" s="9"/>
      <c r="M90" s="42"/>
      <c r="N90" s="42"/>
      <c r="O90" s="42"/>
      <c r="P90" s="42"/>
      <c r="Q90" s="42"/>
      <c r="R90" s="42"/>
      <c r="S90" s="10"/>
      <c r="T90" s="10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x14ac:dyDescent="0.35">
      <c r="C91" s="1"/>
      <c r="D91" s="8"/>
      <c r="E91" s="8"/>
      <c r="F91" s="8"/>
      <c r="G91" s="8"/>
      <c r="H91" s="8"/>
      <c r="I91" s="8"/>
      <c r="J91" s="8"/>
      <c r="K91" s="9"/>
      <c r="L91" s="9"/>
      <c r="M91" s="43"/>
      <c r="N91" s="43"/>
      <c r="O91" s="43"/>
      <c r="P91" s="43"/>
      <c r="Q91" s="43"/>
      <c r="R91" s="43"/>
      <c r="S91" s="9"/>
      <c r="T91" s="9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x14ac:dyDescent="0.35">
      <c r="C92" s="1"/>
      <c r="D92" s="8"/>
      <c r="E92" s="8"/>
      <c r="F92" s="8"/>
      <c r="G92" s="8"/>
      <c r="H92" s="8"/>
      <c r="I92" s="8"/>
      <c r="J92" s="8"/>
      <c r="K92" s="9"/>
      <c r="L92" s="9"/>
      <c r="M92" s="42"/>
      <c r="N92" s="42"/>
      <c r="O92" s="42"/>
      <c r="P92" s="42"/>
      <c r="Q92" s="42"/>
      <c r="R92" s="42"/>
      <c r="S92" s="10"/>
      <c r="T92" s="1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x14ac:dyDescent="0.35">
      <c r="C93" s="1"/>
      <c r="D93" s="8"/>
      <c r="E93" s="8"/>
      <c r="F93" s="8"/>
      <c r="G93" s="8"/>
      <c r="H93" s="8"/>
      <c r="I93" s="8"/>
      <c r="J93" s="8"/>
      <c r="K93" s="9"/>
      <c r="L93" s="9"/>
      <c r="M93" s="9"/>
      <c r="N93" s="9"/>
      <c r="O93" s="9"/>
      <c r="P93" s="9"/>
      <c r="Q93" s="9"/>
      <c r="R93" s="9"/>
      <c r="S93" s="9"/>
      <c r="T93" s="9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x14ac:dyDescent="0.35">
      <c r="C94" s="1"/>
      <c r="D94" s="8"/>
      <c r="E94" s="8"/>
      <c r="F94" s="8"/>
      <c r="G94" s="8"/>
      <c r="H94" s="8"/>
      <c r="I94" s="8"/>
      <c r="J94" s="8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x14ac:dyDescent="0.35">
      <c r="C95" s="1"/>
      <c r="D95" s="8"/>
      <c r="E95" s="8"/>
      <c r="F95" s="8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x14ac:dyDescent="0.35"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3:33" x14ac:dyDescent="0.35"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3:33" x14ac:dyDescent="0.35"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3:33" x14ac:dyDescent="0.35"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3:33" x14ac:dyDescent="0.35"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3:33" x14ac:dyDescent="0.35"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3:33" x14ac:dyDescent="0.35"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3:33" x14ac:dyDescent="0.35"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3:33" x14ac:dyDescent="0.3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3:33" x14ac:dyDescent="0.3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3:33" x14ac:dyDescent="0.3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3:33" x14ac:dyDescent="0.3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3:33" x14ac:dyDescent="0.35">
      <c r="C108" s="1"/>
      <c r="D108" s="1"/>
      <c r="E108" s="1"/>
      <c r="F108" s="1"/>
      <c r="G108" s="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3:33" x14ac:dyDescent="0.35">
      <c r="C109" s="1"/>
      <c r="D109" s="1"/>
      <c r="E109" s="1"/>
      <c r="F109" s="1"/>
      <c r="G109" s="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3:33" x14ac:dyDescent="0.35"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3:33" x14ac:dyDescent="0.35"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3:33" x14ac:dyDescent="0.35">
      <c r="H112" s="5"/>
      <c r="I112" s="6"/>
      <c r="J112" s="6"/>
      <c r="K112" s="6"/>
      <c r="L112" s="6"/>
      <c r="M112" s="6"/>
      <c r="N112" s="6"/>
      <c r="O112" s="7"/>
      <c r="P112" s="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6:29" x14ac:dyDescent="0.35">
      <c r="H113" s="5"/>
      <c r="I113" s="6"/>
      <c r="J113" s="6"/>
      <c r="K113" s="6"/>
      <c r="L113" s="6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5"/>
      <c r="Z113" s="5"/>
      <c r="AA113" s="5"/>
      <c r="AB113" s="5"/>
      <c r="AC113" s="5"/>
    </row>
    <row r="114" spans="6:29" x14ac:dyDescent="0.35">
      <c r="H114" s="5"/>
      <c r="I114" s="6"/>
      <c r="J114" s="6"/>
      <c r="K114" s="6"/>
      <c r="L114" s="6"/>
      <c r="M114" s="6"/>
      <c r="N114" s="6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6:29" x14ac:dyDescent="0.35">
      <c r="H115" s="5"/>
      <c r="I115" s="6"/>
      <c r="J115" s="6"/>
      <c r="K115" s="6"/>
      <c r="L115" s="6"/>
      <c r="M115" s="109" t="s">
        <v>33</v>
      </c>
      <c r="N115" s="109"/>
      <c r="O115" s="27">
        <v>0.17646800000000001</v>
      </c>
      <c r="P115" s="28">
        <v>0.198321</v>
      </c>
      <c r="Q115" s="27">
        <v>0.22781699999999999</v>
      </c>
      <c r="R115" s="33">
        <v>0.27335300000000001</v>
      </c>
      <c r="S115" s="7"/>
      <c r="T115" s="7"/>
      <c r="U115" s="7"/>
      <c r="V115" s="7"/>
      <c r="W115" s="7"/>
      <c r="X115" s="7"/>
      <c r="Y115" s="5"/>
      <c r="Z115" s="5"/>
      <c r="AA115" s="5"/>
      <c r="AB115" s="5"/>
      <c r="AC115" s="5"/>
    </row>
    <row r="116" spans="6:29" x14ac:dyDescent="0.35">
      <c r="H116" s="5"/>
      <c r="I116" s="6"/>
      <c r="J116" s="6"/>
      <c r="K116" s="6"/>
      <c r="L116" s="6"/>
      <c r="M116" s="109" t="s">
        <v>25</v>
      </c>
      <c r="N116" s="109"/>
      <c r="O116" s="27">
        <v>0.50558999999999998</v>
      </c>
      <c r="P116" s="28">
        <v>0.506629</v>
      </c>
      <c r="Q116" s="32">
        <v>0.50852399999999998</v>
      </c>
      <c r="R116" s="28">
        <v>0.50597300000000001</v>
      </c>
      <c r="S116" s="27">
        <v>0.47901300000000002</v>
      </c>
      <c r="T116" s="30">
        <v>5.7762000000000001E-2</v>
      </c>
      <c r="U116" s="5"/>
      <c r="V116" s="5"/>
      <c r="W116" s="5"/>
      <c r="X116" s="5"/>
      <c r="Y116" s="5"/>
      <c r="Z116" s="5"/>
      <c r="AA116" s="5"/>
      <c r="AB116" s="5"/>
      <c r="AC116" s="5"/>
    </row>
    <row r="117" spans="6:29" x14ac:dyDescent="0.35">
      <c r="F117" s="109" t="s">
        <v>33</v>
      </c>
      <c r="G117" s="109"/>
      <c r="H117" s="5"/>
      <c r="I117" s="6"/>
      <c r="J117" s="6"/>
      <c r="K117" s="6"/>
      <c r="L117" s="6"/>
      <c r="M117" s="110" t="s">
        <v>27</v>
      </c>
      <c r="N117" s="110"/>
      <c r="O117" s="28">
        <v>0.32127600000000001</v>
      </c>
      <c r="P117" s="27">
        <v>0.34637299999999999</v>
      </c>
      <c r="Q117" s="35">
        <v>0.35832399999999998</v>
      </c>
      <c r="R117" s="27">
        <v>0.30877199999999999</v>
      </c>
      <c r="S117" s="7"/>
      <c r="T117" s="7"/>
      <c r="U117" s="7"/>
      <c r="V117" s="7"/>
      <c r="W117" s="7"/>
      <c r="X117" s="7"/>
      <c r="Y117" s="5"/>
      <c r="Z117" s="5"/>
      <c r="AA117" s="5"/>
      <c r="AB117" s="5"/>
      <c r="AC117" s="5"/>
    </row>
    <row r="118" spans="6:29" x14ac:dyDescent="0.35">
      <c r="F118" s="109" t="s">
        <v>25</v>
      </c>
      <c r="G118" s="109"/>
      <c r="H118" s="5"/>
      <c r="I118" s="6"/>
      <c r="J118" s="6"/>
      <c r="K118" s="6"/>
      <c r="L118" s="6"/>
      <c r="M118" s="110" t="s">
        <v>59</v>
      </c>
      <c r="N118" s="110"/>
      <c r="O118" s="39">
        <v>0.23472100000000001</v>
      </c>
      <c r="P118" s="36">
        <v>0.23739399999999999</v>
      </c>
      <c r="Q118" s="39">
        <v>0.10822900000000001</v>
      </c>
      <c r="R118" s="40">
        <v>2.6515E-2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6:29" x14ac:dyDescent="0.35">
      <c r="F119" s="110" t="s">
        <v>27</v>
      </c>
      <c r="G119" s="110"/>
      <c r="H119" s="5"/>
      <c r="I119" s="6"/>
      <c r="J119" s="6"/>
      <c r="K119" s="6"/>
      <c r="L119" s="6"/>
      <c r="M119" t="s">
        <v>57</v>
      </c>
      <c r="O119" s="35">
        <v>0.33607599999999999</v>
      </c>
      <c r="P119" s="27">
        <v>0.20791699999999999</v>
      </c>
      <c r="Q119" s="39">
        <v>0.17142099999999999</v>
      </c>
      <c r="R119" s="40">
        <v>0.10179000000000001</v>
      </c>
      <c r="S119" s="7"/>
      <c r="T119" s="7"/>
      <c r="U119" s="7"/>
      <c r="V119" s="7"/>
      <c r="W119" s="7"/>
      <c r="X119" s="7"/>
      <c r="Y119" s="5"/>
      <c r="Z119" s="5"/>
      <c r="AA119" s="5"/>
      <c r="AB119" s="5"/>
      <c r="AC119" s="5"/>
    </row>
    <row r="120" spans="6:29" x14ac:dyDescent="0.35">
      <c r="F120" s="110" t="s">
        <v>59</v>
      </c>
      <c r="G120" s="110"/>
      <c r="H120" s="5"/>
      <c r="I120" s="5"/>
      <c r="J120" s="5"/>
      <c r="K120" s="5"/>
      <c r="L120" s="5"/>
      <c r="M120" s="110" t="s">
        <v>42</v>
      </c>
      <c r="N120" s="110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6:29" x14ac:dyDescent="0.35">
      <c r="H121" s="5"/>
      <c r="I121" s="5"/>
      <c r="J121" s="5"/>
      <c r="K121" s="5"/>
      <c r="L121" s="5"/>
      <c r="M121" s="109" t="s">
        <v>43</v>
      </c>
      <c r="N121" s="10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6:29" x14ac:dyDescent="0.35">
      <c r="H122" s="5"/>
      <c r="I122" s="5"/>
      <c r="J122" s="5"/>
      <c r="K122" s="5"/>
      <c r="L122" s="5"/>
      <c r="M122" s="110" t="s">
        <v>44</v>
      </c>
      <c r="N122" s="11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6:29" x14ac:dyDescent="0.35">
      <c r="H123" s="5"/>
      <c r="I123" s="5"/>
      <c r="J123" s="5"/>
      <c r="K123" s="5"/>
      <c r="L123" s="5"/>
      <c r="M123" s="109" t="s">
        <v>45</v>
      </c>
      <c r="N123" s="10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6:29" x14ac:dyDescent="0.35">
      <c r="H124" s="5"/>
      <c r="I124" s="5"/>
      <c r="J124" s="5"/>
      <c r="K124" s="5"/>
      <c r="L124" s="5"/>
      <c r="M124" s="110" t="s">
        <v>46</v>
      </c>
      <c r="N124" s="110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6:29" x14ac:dyDescent="0.35">
      <c r="H125" s="5"/>
      <c r="I125" s="5"/>
      <c r="J125" s="5"/>
      <c r="K125" s="5"/>
      <c r="L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6:29" x14ac:dyDescent="0.35">
      <c r="H126" s="5"/>
      <c r="I126" s="5"/>
      <c r="J126" s="5"/>
      <c r="K126" s="5"/>
      <c r="L126" s="5"/>
      <c r="M126" s="111" t="s">
        <v>55</v>
      </c>
      <c r="N126" s="112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6:29" x14ac:dyDescent="0.35">
      <c r="H127" s="5"/>
      <c r="I127" s="5"/>
      <c r="J127" s="5"/>
      <c r="K127" s="5"/>
      <c r="L127" s="5"/>
      <c r="M127" s="110" t="s">
        <v>54</v>
      </c>
      <c r="N127" s="110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6:29" x14ac:dyDescent="0.35">
      <c r="H128" s="5"/>
      <c r="I128" s="5"/>
      <c r="J128" s="5"/>
      <c r="K128" s="5"/>
      <c r="L128" s="5"/>
      <c r="M128" s="111" t="s">
        <v>56</v>
      </c>
      <c r="N128" s="112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30" spans="13:14" x14ac:dyDescent="0.35">
      <c r="M130" s="111" t="s">
        <v>65</v>
      </c>
      <c r="N130" s="112"/>
    </row>
    <row r="131" spans="13:14" x14ac:dyDescent="0.35">
      <c r="M131" s="110" t="s">
        <v>66</v>
      </c>
      <c r="N131" s="110"/>
    </row>
    <row r="132" spans="13:14" x14ac:dyDescent="0.35">
      <c r="M132" s="111" t="s">
        <v>67</v>
      </c>
      <c r="N132" s="112"/>
    </row>
    <row r="133" spans="13:14" x14ac:dyDescent="0.35">
      <c r="M133" s="110" t="s">
        <v>53</v>
      </c>
      <c r="N133" s="110"/>
    </row>
    <row r="134" spans="13:14" x14ac:dyDescent="0.35">
      <c r="M134" s="111" t="s">
        <v>55</v>
      </c>
      <c r="N134" s="112"/>
    </row>
    <row r="135" spans="13:14" x14ac:dyDescent="0.35">
      <c r="M135" s="110" t="s">
        <v>54</v>
      </c>
      <c r="N135" s="110"/>
    </row>
    <row r="136" spans="13:14" x14ac:dyDescent="0.35">
      <c r="M136" s="111" t="s">
        <v>56</v>
      </c>
      <c r="N136" s="112"/>
    </row>
    <row r="149" spans="15:32" x14ac:dyDescent="0.35">
      <c r="O149" s="120" t="s">
        <v>40</v>
      </c>
      <c r="P149" s="121"/>
      <c r="Q149" s="33">
        <v>0.27335300000000001</v>
      </c>
      <c r="R149" s="40">
        <v>2.6515E-2</v>
      </c>
      <c r="S149" s="40">
        <v>0.10179000000000001</v>
      </c>
      <c r="T149" s="27">
        <v>0.30877199999999999</v>
      </c>
      <c r="U149" s="28">
        <v>0.50597300000000001</v>
      </c>
    </row>
    <row r="151" spans="15:32" x14ac:dyDescent="0.35">
      <c r="Q151" s="38" t="s">
        <v>33</v>
      </c>
      <c r="R151" t="s">
        <v>59</v>
      </c>
      <c r="S151" t="s">
        <v>57</v>
      </c>
      <c r="T151" t="s">
        <v>27</v>
      </c>
      <c r="U151" s="38" t="s">
        <v>25</v>
      </c>
    </row>
    <row r="152" spans="15:32" x14ac:dyDescent="0.35">
      <c r="O152" s="111" t="s">
        <v>75</v>
      </c>
      <c r="P152" s="112"/>
      <c r="Q152" s="27">
        <v>0.22781699999999999</v>
      </c>
      <c r="R152" s="39">
        <v>0.10822900000000001</v>
      </c>
      <c r="S152" s="39">
        <v>0.17142099999999999</v>
      </c>
      <c r="T152" s="35">
        <v>0.35832399999999998</v>
      </c>
      <c r="U152" s="32">
        <v>0.50852399999999998</v>
      </c>
    </row>
    <row r="153" spans="15:32" x14ac:dyDescent="0.35">
      <c r="O153" s="110" t="s">
        <v>74</v>
      </c>
      <c r="P153" s="110"/>
      <c r="Q153" s="28">
        <v>0.198321</v>
      </c>
      <c r="R153" s="36">
        <v>0.23739399999999999</v>
      </c>
      <c r="S153" s="27">
        <v>0.20791699999999999</v>
      </c>
      <c r="T153" s="27">
        <v>0.34637299999999999</v>
      </c>
      <c r="U153" s="28">
        <v>0.506629</v>
      </c>
    </row>
    <row r="154" spans="15:32" x14ac:dyDescent="0.35">
      <c r="O154" s="109" t="s">
        <v>73</v>
      </c>
      <c r="P154" s="109"/>
      <c r="Q154" s="27">
        <v>0.17646800000000001</v>
      </c>
      <c r="R154" s="39">
        <v>0.23472100000000001</v>
      </c>
      <c r="S154" s="35">
        <v>0.33607599999999999</v>
      </c>
      <c r="T154" s="28">
        <v>0.32127600000000001</v>
      </c>
      <c r="U154" s="27">
        <v>0.50558999999999998</v>
      </c>
    </row>
    <row r="156" spans="15:32" x14ac:dyDescent="0.35">
      <c r="O156" s="109" t="s">
        <v>41</v>
      </c>
      <c r="P156" s="109"/>
      <c r="R156" s="27">
        <v>0.47901300000000002</v>
      </c>
    </row>
    <row r="157" spans="15:32" x14ac:dyDescent="0.35">
      <c r="O157" s="110" t="s">
        <v>42</v>
      </c>
      <c r="P157" s="110"/>
      <c r="R157" s="30">
        <v>5.7762000000000001E-2</v>
      </c>
    </row>
    <row r="158" spans="15:32" x14ac:dyDescent="0.35">
      <c r="O158" s="109" t="s">
        <v>43</v>
      </c>
      <c r="P158" s="109"/>
    </row>
    <row r="159" spans="15:32" x14ac:dyDescent="0.35">
      <c r="O159" s="110" t="s">
        <v>44</v>
      </c>
      <c r="P159" s="110"/>
      <c r="AC159" t="s">
        <v>84</v>
      </c>
      <c r="AD159" t="s">
        <v>85</v>
      </c>
      <c r="AE159" t="s">
        <v>86</v>
      </c>
      <c r="AF159" t="s">
        <v>87</v>
      </c>
    </row>
    <row r="160" spans="15:32" x14ac:dyDescent="0.35">
      <c r="O160" s="109" t="s">
        <v>45</v>
      </c>
      <c r="P160" s="109"/>
      <c r="AC160" t="s">
        <v>89</v>
      </c>
      <c r="AD160" t="s">
        <v>88</v>
      </c>
      <c r="AE160">
        <v>934</v>
      </c>
      <c r="AF160">
        <v>44</v>
      </c>
    </row>
    <row r="161" spans="15:32" x14ac:dyDescent="0.35">
      <c r="O161" s="110" t="s">
        <v>46</v>
      </c>
      <c r="P161" s="110"/>
      <c r="AC161" t="s">
        <v>90</v>
      </c>
      <c r="AD161" s="53">
        <v>45785</v>
      </c>
      <c r="AE161">
        <v>85</v>
      </c>
      <c r="AF161">
        <v>10</v>
      </c>
    </row>
    <row r="162" spans="15:32" x14ac:dyDescent="0.35">
      <c r="O162" s="110" t="s">
        <v>53</v>
      </c>
      <c r="P162" s="110"/>
      <c r="AC162" t="s">
        <v>91</v>
      </c>
      <c r="AD162" s="53">
        <v>45786</v>
      </c>
      <c r="AE162">
        <v>16</v>
      </c>
      <c r="AF162">
        <v>7</v>
      </c>
    </row>
    <row r="163" spans="15:32" x14ac:dyDescent="0.35">
      <c r="O163" s="111" t="s">
        <v>55</v>
      </c>
      <c r="P163" s="112"/>
      <c r="AC163" t="s">
        <v>92</v>
      </c>
      <c r="AD163" s="53">
        <v>45787</v>
      </c>
      <c r="AE163">
        <v>81</v>
      </c>
      <c r="AF163">
        <v>8</v>
      </c>
    </row>
    <row r="164" spans="15:32" x14ac:dyDescent="0.35">
      <c r="O164" s="110" t="s">
        <v>54</v>
      </c>
      <c r="P164" s="110"/>
      <c r="AC164" t="s">
        <v>93</v>
      </c>
      <c r="AD164" s="53">
        <v>45788</v>
      </c>
      <c r="AE164">
        <v>33</v>
      </c>
      <c r="AF164">
        <v>8</v>
      </c>
    </row>
    <row r="165" spans="15:32" x14ac:dyDescent="0.35">
      <c r="O165" s="111" t="s">
        <v>56</v>
      </c>
      <c r="P165" s="112"/>
      <c r="AC165" t="s">
        <v>94</v>
      </c>
      <c r="AD165" s="53">
        <v>45789</v>
      </c>
      <c r="AE165">
        <v>294</v>
      </c>
      <c r="AF165">
        <v>10</v>
      </c>
    </row>
    <row r="166" spans="15:32" x14ac:dyDescent="0.35">
      <c r="O166" s="110" t="s">
        <v>64</v>
      </c>
      <c r="P166" s="110"/>
      <c r="AC166" t="s">
        <v>95</v>
      </c>
      <c r="AD166" s="53">
        <v>45790</v>
      </c>
      <c r="AE166">
        <v>211</v>
      </c>
      <c r="AF166">
        <v>8</v>
      </c>
    </row>
    <row r="167" spans="15:32" x14ac:dyDescent="0.35">
      <c r="O167" s="111" t="s">
        <v>65</v>
      </c>
      <c r="P167" s="112"/>
      <c r="AC167" t="s">
        <v>96</v>
      </c>
      <c r="AD167" s="53">
        <v>45791</v>
      </c>
      <c r="AE167">
        <v>287</v>
      </c>
      <c r="AF167">
        <v>8</v>
      </c>
    </row>
    <row r="168" spans="15:32" x14ac:dyDescent="0.35">
      <c r="O168" s="110" t="s">
        <v>66</v>
      </c>
      <c r="P168" s="110"/>
      <c r="AC168" t="s">
        <v>97</v>
      </c>
      <c r="AD168" s="53">
        <v>45792</v>
      </c>
      <c r="AE168">
        <v>127</v>
      </c>
      <c r="AF168">
        <v>10</v>
      </c>
    </row>
    <row r="169" spans="15:32" x14ac:dyDescent="0.35">
      <c r="O169" s="111" t="s">
        <v>67</v>
      </c>
      <c r="P169" s="112"/>
      <c r="AC169" t="s">
        <v>98</v>
      </c>
      <c r="AD169" s="53">
        <v>45793</v>
      </c>
      <c r="AE169">
        <v>47</v>
      </c>
      <c r="AF169">
        <v>9</v>
      </c>
    </row>
    <row r="170" spans="15:32" x14ac:dyDescent="0.35">
      <c r="O170" s="110" t="s">
        <v>69</v>
      </c>
      <c r="P170" s="110"/>
      <c r="AC170" t="s">
        <v>99</v>
      </c>
      <c r="AD170" s="53">
        <v>45794</v>
      </c>
      <c r="AE170">
        <v>171</v>
      </c>
      <c r="AF170">
        <v>12</v>
      </c>
    </row>
    <row r="171" spans="15:32" x14ac:dyDescent="0.35">
      <c r="O171" s="111" t="s">
        <v>70</v>
      </c>
      <c r="P171" s="112"/>
      <c r="AC171" t="s">
        <v>100</v>
      </c>
      <c r="AD171" s="53">
        <v>45795</v>
      </c>
      <c r="AE171">
        <v>164</v>
      </c>
      <c r="AF171">
        <v>12</v>
      </c>
    </row>
    <row r="172" spans="15:32" x14ac:dyDescent="0.35">
      <c r="O172" s="110" t="s">
        <v>72</v>
      </c>
      <c r="P172" s="110"/>
      <c r="AC172" t="s">
        <v>101</v>
      </c>
      <c r="AD172" s="53">
        <v>45796</v>
      </c>
      <c r="AE172">
        <v>180</v>
      </c>
      <c r="AF172">
        <v>16</v>
      </c>
    </row>
    <row r="173" spans="15:32" x14ac:dyDescent="0.35">
      <c r="O173" s="111" t="s">
        <v>71</v>
      </c>
      <c r="P173" s="112"/>
      <c r="AC173" t="s">
        <v>102</v>
      </c>
      <c r="AD173" s="53">
        <v>45797</v>
      </c>
      <c r="AE173">
        <v>265</v>
      </c>
      <c r="AF173">
        <v>19</v>
      </c>
    </row>
    <row r="174" spans="15:32" x14ac:dyDescent="0.35">
      <c r="AC174" t="s">
        <v>103</v>
      </c>
      <c r="AD174" s="53">
        <v>45798</v>
      </c>
      <c r="AE174">
        <v>1005</v>
      </c>
      <c r="AF174">
        <v>20</v>
      </c>
    </row>
    <row r="175" spans="15:32" x14ac:dyDescent="0.35">
      <c r="AC175" t="s">
        <v>104</v>
      </c>
      <c r="AD175" s="53">
        <v>45799</v>
      </c>
      <c r="AE175">
        <v>231</v>
      </c>
      <c r="AF175">
        <v>14</v>
      </c>
    </row>
    <row r="176" spans="15:32" x14ac:dyDescent="0.35">
      <c r="AC176" t="s">
        <v>105</v>
      </c>
      <c r="AD176" s="53">
        <v>45800</v>
      </c>
      <c r="AE176">
        <v>417</v>
      </c>
      <c r="AF176">
        <v>14</v>
      </c>
    </row>
    <row r="177" spans="29:32" x14ac:dyDescent="0.35">
      <c r="AC177" t="s">
        <v>106</v>
      </c>
      <c r="AD177" s="53">
        <v>45801</v>
      </c>
      <c r="AE177">
        <v>394</v>
      </c>
      <c r="AF177">
        <v>15</v>
      </c>
    </row>
    <row r="178" spans="29:32" x14ac:dyDescent="0.35">
      <c r="AC178" t="s">
        <v>107</v>
      </c>
      <c r="AD178" s="53">
        <v>45802</v>
      </c>
      <c r="AE178">
        <v>384</v>
      </c>
      <c r="AF178">
        <v>19</v>
      </c>
    </row>
    <row r="179" spans="29:32" x14ac:dyDescent="0.35">
      <c r="AC179" t="s">
        <v>108</v>
      </c>
      <c r="AD179" s="53">
        <v>45803</v>
      </c>
      <c r="AE179">
        <v>387</v>
      </c>
      <c r="AF179">
        <v>8</v>
      </c>
    </row>
    <row r="180" spans="29:32" x14ac:dyDescent="0.35">
      <c r="AC180" t="s">
        <v>109</v>
      </c>
      <c r="AD180" s="53">
        <v>45804</v>
      </c>
      <c r="AE180">
        <v>209</v>
      </c>
      <c r="AF180">
        <v>9</v>
      </c>
    </row>
    <row r="181" spans="29:32" x14ac:dyDescent="0.35">
      <c r="AC181" t="s">
        <v>110</v>
      </c>
      <c r="AD181" s="53">
        <v>45805</v>
      </c>
      <c r="AE181">
        <v>225</v>
      </c>
      <c r="AF181">
        <v>8</v>
      </c>
    </row>
    <row r="182" spans="29:32" x14ac:dyDescent="0.35">
      <c r="AC182" t="s">
        <v>111</v>
      </c>
      <c r="AD182" s="53">
        <v>45806</v>
      </c>
      <c r="AE182">
        <v>277</v>
      </c>
      <c r="AF182">
        <v>14</v>
      </c>
    </row>
    <row r="183" spans="29:32" x14ac:dyDescent="0.35">
      <c r="AC183" t="s">
        <v>112</v>
      </c>
      <c r="AD183" s="53">
        <v>45807</v>
      </c>
      <c r="AE183">
        <v>352</v>
      </c>
      <c r="AF183">
        <v>11</v>
      </c>
    </row>
    <row r="184" spans="29:32" x14ac:dyDescent="0.35">
      <c r="AC184" t="s">
        <v>113</v>
      </c>
      <c r="AD184" s="53">
        <v>45808</v>
      </c>
      <c r="AE184">
        <v>165</v>
      </c>
      <c r="AF184">
        <v>4</v>
      </c>
    </row>
  </sheetData>
  <mergeCells count="105">
    <mergeCell ref="F117:G117"/>
    <mergeCell ref="F118:G118"/>
    <mergeCell ref="F119:G119"/>
    <mergeCell ref="F120:G120"/>
    <mergeCell ref="D2:R2"/>
    <mergeCell ref="D3:R4"/>
    <mergeCell ref="E5:F5"/>
    <mergeCell ref="G5:J5"/>
    <mergeCell ref="K5:L5"/>
    <mergeCell ref="M5:R5"/>
    <mergeCell ref="O6:O7"/>
    <mergeCell ref="P6:P7"/>
    <mergeCell ref="Q6:Q7"/>
    <mergeCell ref="R6:R7"/>
    <mergeCell ref="N6:N7"/>
    <mergeCell ref="K8:L8"/>
    <mergeCell ref="K9:L9"/>
    <mergeCell ref="K10:L10"/>
    <mergeCell ref="D6:D7"/>
    <mergeCell ref="E6:F7"/>
    <mergeCell ref="G6:J7"/>
    <mergeCell ref="K6:L7"/>
    <mergeCell ref="M6:M7"/>
    <mergeCell ref="D8:D11"/>
    <mergeCell ref="K16:L16"/>
    <mergeCell ref="K17:L17"/>
    <mergeCell ref="K18:L18"/>
    <mergeCell ref="K19:L19"/>
    <mergeCell ref="K20:L20"/>
    <mergeCell ref="K21:L21"/>
    <mergeCell ref="K22:L22"/>
    <mergeCell ref="K23:L23"/>
    <mergeCell ref="K11:L11"/>
    <mergeCell ref="K12:L12"/>
    <mergeCell ref="K13:L13"/>
    <mergeCell ref="K14:L14"/>
    <mergeCell ref="K15:L15"/>
    <mergeCell ref="D12:D17"/>
    <mergeCell ref="E12:F17"/>
    <mergeCell ref="G12:J17"/>
    <mergeCell ref="E18:F21"/>
    <mergeCell ref="G18:J21"/>
    <mergeCell ref="E22:F25"/>
    <mergeCell ref="G22:J25"/>
    <mergeCell ref="E8:F11"/>
    <mergeCell ref="D22:D25"/>
    <mergeCell ref="D18:D21"/>
    <mergeCell ref="G8:J11"/>
    <mergeCell ref="E30:F33"/>
    <mergeCell ref="G30:J33"/>
    <mergeCell ref="D30:D33"/>
    <mergeCell ref="D26:D29"/>
    <mergeCell ref="E26:F29"/>
    <mergeCell ref="G26:J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29:L29"/>
    <mergeCell ref="M117:N117"/>
    <mergeCell ref="M126:N126"/>
    <mergeCell ref="M127:N127"/>
    <mergeCell ref="M115:N115"/>
    <mergeCell ref="M128:N128"/>
    <mergeCell ref="M118:N118"/>
    <mergeCell ref="M130:N130"/>
    <mergeCell ref="M116:N116"/>
    <mergeCell ref="M120:N120"/>
    <mergeCell ref="M121:N121"/>
    <mergeCell ref="M122:N122"/>
    <mergeCell ref="M123:N123"/>
    <mergeCell ref="M124:N124"/>
    <mergeCell ref="O149:P149"/>
    <mergeCell ref="O156:P156"/>
    <mergeCell ref="O157:P157"/>
    <mergeCell ref="M131:N131"/>
    <mergeCell ref="M132:N132"/>
    <mergeCell ref="M133:N133"/>
    <mergeCell ref="M134:N134"/>
    <mergeCell ref="M135:N135"/>
    <mergeCell ref="M136:N136"/>
    <mergeCell ref="O158:P158"/>
    <mergeCell ref="O159:P159"/>
    <mergeCell ref="O160:P160"/>
    <mergeCell ref="O161:P161"/>
    <mergeCell ref="O162:P162"/>
    <mergeCell ref="O163:P163"/>
    <mergeCell ref="O154:P154"/>
    <mergeCell ref="O153:P153"/>
    <mergeCell ref="O152:P152"/>
    <mergeCell ref="O170:P170"/>
    <mergeCell ref="O171:P171"/>
    <mergeCell ref="O172:P172"/>
    <mergeCell ref="O173:P173"/>
    <mergeCell ref="O164:P164"/>
    <mergeCell ref="O165:P165"/>
    <mergeCell ref="O166:P166"/>
    <mergeCell ref="O167:P167"/>
    <mergeCell ref="O168:P168"/>
    <mergeCell ref="O169:P16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hdbscan-offline</vt:lpstr>
      <vt:lpstr>offline</vt:lpstr>
      <vt:lpstr>ورقة2</vt:lpstr>
      <vt:lpstr>Sheet1 (2)</vt:lpstr>
      <vt:lpstr>exp1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2025-07-29T16:54:38Z</dcterms:modified>
</cp:coreProperties>
</file>